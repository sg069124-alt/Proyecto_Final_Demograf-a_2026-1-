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Introduction" sheetId="1" r:id="rId4"/>
    <sheet state="hidden" name="Coefficients" sheetId="2" r:id="rId5"/>
    <sheet state="hidden" name="Model LTs" sheetId="3" r:id="rId6"/>
    <sheet state="visible" name="Decrementos Múltiples" sheetId="4" r:id="rId7"/>
    <sheet state="visible" name="LT" sheetId="5" r:id="rId8"/>
    <sheet state="visible" name="Homicidios" sheetId="6" r:id="rId9"/>
    <sheet state="visible" name="Defunciones generales" sheetId="7" r:id="rId10"/>
  </sheets>
  <externalReferences>
    <externalReference r:id="rId11"/>
  </externalReferences>
  <definedNames>
    <definedName name="Coeffs_133">Coefficients!$Y$28</definedName>
    <definedName name="Coeffs_221">Coefficients!$C$61</definedName>
    <definedName name="TypeSelect">Coefficients!$AJ$23</definedName>
    <definedName name="Coeffs_141">Coefficients!$C$39</definedName>
    <definedName name="Coeffs_123">Coefficients!$Y$17</definedName>
    <definedName name="Coeffs_121">Coefficients!$C$17</definedName>
    <definedName name="FamSelect">Coefficients!$AJ$8</definedName>
    <definedName name="Coeffs_113">Coefficients!$Y$6</definedName>
    <definedName name="UN">Coefficients!$AI$17:$AI$21</definedName>
    <definedName name="Coeffs_251">Coefficients!$C$94</definedName>
    <definedName name="Coeffs_143">Coefficients!$Y$39</definedName>
    <definedName name="Coeffs_111">Coefficients!$C$6</definedName>
    <definedName name="Princeton">Coefficients!$AI$13:$AI$16</definedName>
    <definedName name="Family">Coefficients!$AI$9:$AI$10</definedName>
    <definedName name="Coeffs_131">Coefficients!$C$28</definedName>
    <definedName name="Coeffs_241">Coefficients!$C$83</definedName>
    <definedName name="Variant">Coefficients!$AI$24:$AI$26</definedName>
    <definedName name="Coeffs_231">Coefficients!$C$72</definedName>
    <definedName name="Coeffs_132">Coefficients!$N$28</definedName>
    <definedName name="Coeffs_112">Coefficients!$N$6</definedName>
    <definedName name="Coeffs_211">Coefficients!$C$50</definedName>
    <definedName name="Coeffs_142">Coefficients!$N$39</definedName>
    <definedName name="Sex">Coefficients!$AI$29:$AI$31</definedName>
    <definedName name="Coeffs_122">Coefficients!$N$17</definedName>
  </definedNames>
  <calcPr/>
  <extLst>
    <ext uri="GoogleSheetsCustomDataVersion2">
      <go:sheetsCustomData xmlns:go="http://customooxmlschemas.google.com/" r:id="rId12" roundtripDataChecksum="czy3UmWAagkSJPFRk73bp5FSH4RloOOgVltW15wdmq0="/>
    </ext>
  </extLst>
</workbook>
</file>

<file path=xl/sharedStrings.xml><?xml version="1.0" encoding="utf-8"?>
<sst xmlns="http://schemas.openxmlformats.org/spreadsheetml/2006/main" count="1958" uniqueCount="136">
  <si>
    <t>Estimation of child mortality using data on children ever born and children surviving - Instructions</t>
  </si>
  <si>
    <t xml:space="preserve">This method is described at: </t>
  </si>
  <si>
    <t>http://demographicestimation.iussp.org/content/indirect-estimation-child-mortality</t>
  </si>
  <si>
    <t>This spreadsheet estimates child mortality from data on the mean number of children ever born and surviving by age of mother, the duration since first birth, or duration since marriage.</t>
  </si>
  <si>
    <t>Set input parameters</t>
  </si>
  <si>
    <t>Enter the country name and data descriptor in the green cell to the right.</t>
  </si>
  <si>
    <t>Country</t>
  </si>
  <si>
    <t>México</t>
  </si>
  <si>
    <t>Record the date of the inquiry in the green cell to the right.</t>
  </si>
  <si>
    <t>Census date</t>
  </si>
  <si>
    <t xml:space="preserve">Specify the variant of the model to be fitted. </t>
  </si>
  <si>
    <t>Variant of method</t>
  </si>
  <si>
    <t>Age of mother</t>
  </si>
  <si>
    <t>Set the mortality parameters for the method in the green cells to the right.</t>
  </si>
  <si>
    <t>Family of model life tables</t>
  </si>
  <si>
    <t>Princeton</t>
  </si>
  <si>
    <t>Mortality pattern</t>
  </si>
  <si>
    <t>West</t>
  </si>
  <si>
    <t>Sex</t>
  </si>
  <si>
    <t>Both</t>
  </si>
  <si>
    <t>Mean age of childbearing</t>
  </si>
  <si>
    <r>
      <rPr>
        <rFont val="Arial"/>
        <color theme="1"/>
        <sz val="12.0"/>
      </rPr>
      <t xml:space="preserve">Place the mean number of children ever born, tabulated according to the variant of the model in cells </t>
    </r>
    <r>
      <rPr>
        <rFont val="Arial"/>
        <b/>
        <color theme="1"/>
        <sz val="12.0"/>
      </rPr>
      <t>B5:B11</t>
    </r>
    <r>
      <rPr>
        <rFont val="Arial"/>
        <color theme="1"/>
        <sz val="12.0"/>
      </rPr>
      <t xml:space="preserve"> of the </t>
    </r>
    <r>
      <rPr>
        <rFont val="Arial"/>
        <b/>
        <i/>
        <color theme="1"/>
        <sz val="12.0"/>
      </rPr>
      <t xml:space="preserve">Method </t>
    </r>
    <r>
      <rPr>
        <rFont val="Arial"/>
        <color theme="1"/>
        <sz val="12.0"/>
      </rPr>
      <t>sheet.</t>
    </r>
  </si>
  <si>
    <r>
      <rPr>
        <rFont val="Arial"/>
        <color theme="1"/>
        <sz val="12.0"/>
      </rPr>
      <t xml:space="preserve">Place the mean number of children surviving, tabulated according to the variant of the model in cells </t>
    </r>
    <r>
      <rPr>
        <rFont val="Arial"/>
        <b/>
        <color theme="1"/>
        <sz val="12.0"/>
      </rPr>
      <t>C5:C11</t>
    </r>
    <r>
      <rPr>
        <rFont val="Arial"/>
        <color theme="1"/>
        <sz val="12.0"/>
      </rPr>
      <t xml:space="preserve"> of the </t>
    </r>
    <r>
      <rPr>
        <rFont val="Arial"/>
        <b/>
        <i/>
        <color theme="1"/>
        <sz val="12.0"/>
      </rPr>
      <t xml:space="preserve">Method </t>
    </r>
    <r>
      <rPr>
        <rFont val="Arial"/>
        <color theme="1"/>
        <sz val="12.0"/>
      </rPr>
      <t>sheet.</t>
    </r>
  </si>
  <si>
    <t>Results</t>
  </si>
  <si>
    <r>
      <rPr>
        <rFont val="Arial"/>
        <color theme="1"/>
        <sz val="12.0"/>
      </rPr>
      <t xml:space="preserve">Estimates of infant mortality, </t>
    </r>
    <r>
      <rPr>
        <rFont val="Arial"/>
        <i/>
        <color theme="1"/>
        <sz val="12.0"/>
      </rPr>
      <t>q(</t>
    </r>
    <r>
      <rPr>
        <rFont val="Arial"/>
        <color theme="1"/>
        <sz val="12.0"/>
      </rPr>
      <t xml:space="preserve">1), and child mortality, </t>
    </r>
    <r>
      <rPr>
        <rFont val="Arial"/>
        <i/>
        <color theme="1"/>
        <sz val="12.0"/>
      </rPr>
      <t>q</t>
    </r>
    <r>
      <rPr>
        <rFont val="Arial"/>
        <color theme="1"/>
        <sz val="12.0"/>
      </rPr>
      <t xml:space="preserve">(5), are located in cells </t>
    </r>
    <r>
      <rPr>
        <rFont val="Arial"/>
        <b/>
        <color theme="1"/>
        <sz val="12.0"/>
      </rPr>
      <t>L5:M10</t>
    </r>
    <r>
      <rPr>
        <rFont val="Arial"/>
        <color theme="1"/>
        <sz val="12.0"/>
      </rPr>
      <t xml:space="preserve"> of the </t>
    </r>
    <r>
      <rPr>
        <rFont val="Arial"/>
        <b/>
        <i/>
        <color theme="1"/>
        <sz val="12.0"/>
      </rPr>
      <t>Method</t>
    </r>
    <r>
      <rPr>
        <rFont val="Arial"/>
        <color theme="1"/>
        <sz val="12.0"/>
      </rPr>
      <t xml:space="preserve"> sheet.</t>
    </r>
  </si>
  <si>
    <r>
      <rPr>
        <rFont val="Arial"/>
        <color theme="1"/>
        <sz val="12.0"/>
      </rPr>
      <t xml:space="preserve">Time locations of these estimates are located in cells </t>
    </r>
    <r>
      <rPr>
        <rFont val="Arial"/>
        <b/>
        <color theme="1"/>
        <sz val="12.0"/>
      </rPr>
      <t>K5:K10</t>
    </r>
    <r>
      <rPr>
        <rFont val="Arial"/>
        <color theme="1"/>
        <sz val="12.0"/>
      </rPr>
      <t xml:space="preserve"> of the </t>
    </r>
    <r>
      <rPr>
        <rFont val="Arial"/>
        <b/>
        <i/>
        <color theme="1"/>
        <sz val="12.0"/>
      </rPr>
      <t xml:space="preserve"> Method</t>
    </r>
    <r>
      <rPr>
        <rFont val="Arial"/>
        <color theme="1"/>
        <sz val="12.0"/>
      </rPr>
      <t xml:space="preserve"> sheet.</t>
    </r>
  </si>
  <si>
    <t>BY AGE OF MOTHER</t>
  </si>
  <si>
    <t>BY DURATION SINCE FIRST BIRTH</t>
  </si>
  <si>
    <t>BY DURATION SINCE MARRIAGE</t>
  </si>
  <si>
    <t>Conversion of D into q</t>
  </si>
  <si>
    <t>Time location</t>
  </si>
  <si>
    <t>Princeton - North</t>
  </si>
  <si>
    <t>Age</t>
  </si>
  <si>
    <t>x</t>
  </si>
  <si>
    <t>a(x,j)</t>
  </si>
  <si>
    <t>b(x,j)</t>
  </si>
  <si>
    <t>c(x,j)</t>
  </si>
  <si>
    <t>d(x,j)</t>
  </si>
  <si>
    <t>e(x,j)</t>
  </si>
  <si>
    <t>f(x,j)</t>
  </si>
  <si>
    <t>g(x,j)</t>
  </si>
  <si>
    <t>Duration</t>
  </si>
  <si>
    <t>15-19</t>
  </si>
  <si>
    <t>0-4</t>
  </si>
  <si>
    <t>Metric</t>
  </si>
  <si>
    <t>20-24</t>
  </si>
  <si>
    <t>5-9</t>
  </si>
  <si>
    <t>25-29</t>
  </si>
  <si>
    <t>10-14</t>
  </si>
  <si>
    <t>Model family</t>
  </si>
  <si>
    <t>30-34</t>
  </si>
  <si>
    <t>35-39</t>
  </si>
  <si>
    <t>UN</t>
  </si>
  <si>
    <t>40-44</t>
  </si>
  <si>
    <t>45-49</t>
  </si>
  <si>
    <t>Model pattern</t>
  </si>
  <si>
    <t>North</t>
  </si>
  <si>
    <t>South</t>
  </si>
  <si>
    <t>Princeton - South</t>
  </si>
  <si>
    <t>East</t>
  </si>
  <si>
    <t>Selected LT</t>
  </si>
  <si>
    <t>logit l(x)</t>
  </si>
  <si>
    <t>Latin America</t>
  </si>
  <si>
    <t>Chile</t>
  </si>
  <si>
    <t>South Asian</t>
  </si>
  <si>
    <t>Far East</t>
  </si>
  <si>
    <t>General</t>
  </si>
  <si>
    <t>Model variant</t>
  </si>
  <si>
    <t>Duration since first birth</t>
  </si>
  <si>
    <t>Princeton - East</t>
  </si>
  <si>
    <t>Duration since marriage</t>
  </si>
  <si>
    <t>Male</t>
  </si>
  <si>
    <t>Female</t>
  </si>
  <si>
    <t>Valid combinations</t>
  </si>
  <si>
    <t>Princeton - West</t>
  </si>
  <si>
    <t>UN - Latin America</t>
  </si>
  <si>
    <t>UN - Chile</t>
  </si>
  <si>
    <t>UN - South Asian</t>
  </si>
  <si>
    <t>UN - Far Eastern</t>
  </si>
  <si>
    <t>UN - General</t>
  </si>
  <si>
    <t>Model LTs</t>
  </si>
  <si>
    <t>logits with e0 = 60</t>
  </si>
  <si>
    <t>Princeton North</t>
  </si>
  <si>
    <t>Princeton South</t>
  </si>
  <si>
    <t>Princeton East</t>
  </si>
  <si>
    <t>Princeton West</t>
  </si>
  <si>
    <t>UN Latin American</t>
  </si>
  <si>
    <t>UN Chilean</t>
  </si>
  <si>
    <t>UN South Asian</t>
  </si>
  <si>
    <t>UN Far Eastern</t>
  </si>
  <si>
    <t>UN General</t>
  </si>
  <si>
    <t>Males</t>
  </si>
  <si>
    <t>Females</t>
  </si>
  <si>
    <t>Combined</t>
  </si>
  <si>
    <t>Hombres, 2019</t>
  </si>
  <si>
    <t>Age x</t>
  </si>
  <si>
    <t>n</t>
  </si>
  <si>
    <t>nDx</t>
  </si>
  <si>
    <t>nDxi</t>
  </si>
  <si>
    <t>nqx</t>
  </si>
  <si>
    <t>e0</t>
  </si>
  <si>
    <t>nqx_i</t>
  </si>
  <si>
    <t>ndx_i</t>
  </si>
  <si>
    <t>L</t>
  </si>
  <si>
    <t>T</t>
  </si>
  <si>
    <t>e0_i</t>
  </si>
  <si>
    <t>diff</t>
  </si>
  <si>
    <t>Número de años que se espera 
que viva un hombre de 0 años 
hasta llegar a los 85 años.</t>
  </si>
  <si>
    <t>Sin COVID</t>
  </si>
  <si>
    <t>Con COVID</t>
  </si>
  <si>
    <t>Diff</t>
  </si>
  <si>
    <t>Mujeres, 2019</t>
  </si>
  <si>
    <t>Hombres</t>
  </si>
  <si>
    <t>Mujeres</t>
  </si>
  <si>
    <t>Sin homicidios</t>
  </si>
  <si>
    <t>Número de años que se espera 
que viva una mujer de 0 años 
hasta llegar a los 85 años.</t>
  </si>
  <si>
    <t>Con homicidios</t>
  </si>
  <si>
    <t>lt_desc</t>
  </si>
  <si>
    <t>year</t>
  </si>
  <si>
    <t>sex</t>
  </si>
  <si>
    <t>age</t>
  </si>
  <si>
    <t>mx</t>
  </si>
  <si>
    <t>qx</t>
  </si>
  <si>
    <t>ax</t>
  </si>
  <si>
    <t>lx</t>
  </si>
  <si>
    <t>dx</t>
  </si>
  <si>
    <t>Lx</t>
  </si>
  <si>
    <t>Tx</t>
  </si>
  <si>
    <t>ex</t>
  </si>
  <si>
    <t>LT VR/Census, MEX</t>
  </si>
  <si>
    <t>m</t>
  </si>
  <si>
    <t>NA</t>
  </si>
  <si>
    <t>f</t>
  </si>
  <si>
    <t>deaths</t>
  </si>
  <si>
    <t>male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</si>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</sst>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General_)"/>
    <numFmt numFmtId="165" formatCode="0.000"/>
    <numFmt numFmtId="166" formatCode="0_)"/>
    <numFmt numFmtId="167" formatCode="0.0000"/>
    <numFmt numFmtId="168" formatCode="0.000_)"/>
    <numFmt numFmtId="169" formatCode="0.00000_)"/>
    <numFmt numFmtId="170" formatCode="0.0000_)"/>
    <numFmt numFmtId="171" formatCode="0.00000"/>
    <numFmt numFmtId="172" formatCode="#,##0.0000"/>
  </numFmts>
  <fonts count="18">
    <font>
      <sz val="11.0"/>
      <color rgb="FF000000"/>
      <name val="Arial"/>
      <scheme val="minor"/>
    </font>
    <font>
      <b/>
      <sz val="12.0"/>
      <color theme="1"/>
      <name val="Arial"/>
    </font>
    <font/>
    <font>
      <sz val="12.0"/>
      <color theme="1"/>
      <name val="Arial"/>
    </font>
    <font>
      <u/>
      <sz val="12.0"/>
      <color rgb="FF0000FF"/>
      <name val="Arial"/>
    </font>
    <font>
      <b/>
      <sz val="12.0"/>
      <color rgb="FF006100"/>
      <name val="Arial"/>
    </font>
    <font>
      <sz val="12.0"/>
      <color rgb="FF006100"/>
      <name val="Arial"/>
    </font>
    <font>
      <sz val="12.0"/>
      <color rgb="FFFF0000"/>
      <name val="Arial"/>
    </font>
    <font>
      <b/>
      <sz val="11.0"/>
      <color theme="1"/>
      <name val="Arial Narrow"/>
    </font>
    <font>
      <b/>
      <i/>
      <sz val="11.0"/>
      <color theme="1"/>
      <name val="Arial Narrow"/>
    </font>
    <font>
      <sz val="10.0"/>
      <color theme="1"/>
      <name val="Arial"/>
    </font>
    <font>
      <i/>
      <sz val="10.0"/>
      <color theme="1"/>
      <name val="Arial"/>
    </font>
    <font>
      <b/>
      <sz val="11.0"/>
      <color theme="1"/>
      <name val="Calibri"/>
    </font>
    <font>
      <sz val="11.0"/>
      <color rgb="FF000000"/>
      <name val="Georgia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Georgia"/>
    </font>
    <font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92D050"/>
        <bgColor rgb="FF92D050"/>
      </patternFill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  <fill>
      <patternFill patternType="solid">
        <fgColor rgb="FFFBD4B4"/>
        <bgColor rgb="FFFBD4B4"/>
      </patternFill>
    </fill>
    <fill>
      <patternFill patternType="solid">
        <fgColor rgb="FFFABF8F"/>
        <bgColor rgb="FFFABF8F"/>
      </patternFill>
    </fill>
    <fill>
      <patternFill patternType="solid">
        <fgColor rgb="FFF6B26B"/>
        <bgColor rgb="FFF6B26B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</fills>
  <borders count="37">
    <border/>
    <border>
      <left style="thin">
        <color rgb="FFE36C09"/>
      </left>
      <top style="thin">
        <color rgb="FFE36C09"/>
      </top>
      <bottom style="thin">
        <color rgb="FFE36C09"/>
      </bottom>
    </border>
    <border>
      <right style="thin">
        <color rgb="FFE36C09"/>
      </right>
      <top style="thin">
        <color rgb="FFE36C09"/>
      </top>
      <bottom style="thin">
        <color rgb="FFE36C09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 style="medium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0" fillId="0" fontId="3" numFmtId="0" xfId="0" applyFont="1"/>
    <xf borderId="0" fillId="0" fontId="3" numFmtId="0" xfId="0" applyAlignment="1" applyFont="1">
      <alignment horizontal="left"/>
    </xf>
    <xf borderId="3" fillId="0" fontId="4" numFmtId="164" xfId="0" applyAlignment="1" applyBorder="1" applyFont="1" applyNumberFormat="1">
      <alignment horizontal="center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 shrinkToFit="0" vertical="top" wrapText="1"/>
    </xf>
    <xf borderId="0" fillId="0" fontId="1" numFmtId="0" xfId="0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top" wrapText="1"/>
    </xf>
    <xf borderId="4" fillId="0" fontId="3" numFmtId="0" xfId="0" applyAlignment="1" applyBorder="1" applyFont="1">
      <alignment horizontal="right"/>
    </xf>
    <xf borderId="5" fillId="3" fontId="5" numFmtId="165" xfId="0" applyAlignment="1" applyBorder="1" applyFill="1" applyFont="1" applyNumberFormat="1">
      <alignment horizontal="center"/>
    </xf>
    <xf borderId="6" fillId="0" fontId="2" numFmtId="0" xfId="0" applyBorder="1" applyFont="1"/>
    <xf borderId="7" fillId="0" fontId="2" numFmtId="0" xfId="0" applyBorder="1" applyFont="1"/>
    <xf borderId="0" fillId="0" fontId="3" numFmtId="0" xfId="0" applyAlignment="1" applyFont="1">
      <alignment vertical="top"/>
    </xf>
    <xf borderId="3" fillId="0" fontId="3" numFmtId="0" xfId="0" applyAlignment="1" applyBorder="1" applyFont="1">
      <alignment horizontal="right"/>
    </xf>
    <xf borderId="0" fillId="0" fontId="6" numFmtId="0" xfId="0" applyAlignment="1" applyFont="1">
      <alignment horizontal="center"/>
    </xf>
    <xf borderId="8" fillId="0" fontId="2" numFmtId="0" xfId="0" applyBorder="1" applyFont="1"/>
    <xf borderId="9" fillId="0" fontId="3" numFmtId="0" xfId="0" applyAlignment="1" applyBorder="1" applyFont="1">
      <alignment horizontal="right"/>
    </xf>
    <xf borderId="10" fillId="3" fontId="6" numFmtId="14" xfId="0" applyAlignment="1" applyBorder="1" applyFont="1" applyNumberFormat="1">
      <alignment horizontal="center"/>
    </xf>
    <xf borderId="11" fillId="0" fontId="2" numFmtId="0" xfId="0" applyBorder="1" applyFont="1"/>
    <xf borderId="12" fillId="0" fontId="2" numFmtId="0" xfId="0" applyBorder="1" applyFont="1"/>
    <xf borderId="13" fillId="0" fontId="3" numFmtId="0" xfId="0" applyAlignment="1" applyBorder="1" applyFont="1">
      <alignment horizontal="right"/>
    </xf>
    <xf borderId="14" fillId="3" fontId="6" numFmtId="165" xfId="0" applyAlignment="1" applyBorder="1" applyFont="1" applyNumberFormat="1">
      <alignment horizontal="right"/>
    </xf>
    <xf borderId="15" fillId="0" fontId="2" numFmtId="0" xfId="0" applyBorder="1" applyFont="1"/>
    <xf borderId="16" fillId="0" fontId="2" numFmtId="0" xfId="0" applyBorder="1" applyFont="1"/>
    <xf borderId="0" fillId="0" fontId="3" numFmtId="0" xfId="0" applyAlignment="1" applyFont="1">
      <alignment horizontal="right"/>
    </xf>
    <xf borderId="5" fillId="3" fontId="6" numFmtId="165" xfId="0" applyAlignment="1" applyBorder="1" applyFont="1" applyNumberFormat="1">
      <alignment horizontal="right"/>
    </xf>
    <xf borderId="17" fillId="3" fontId="6" numFmtId="165" xfId="0" applyAlignment="1" applyBorder="1" applyFont="1" applyNumberFormat="1">
      <alignment horizontal="right"/>
    </xf>
    <xf borderId="18" fillId="0" fontId="2" numFmtId="0" xfId="0" applyBorder="1" applyFont="1"/>
    <xf borderId="19" fillId="0" fontId="2" numFmtId="0" xfId="0" applyBorder="1" applyFont="1"/>
    <xf borderId="3" fillId="0" fontId="3" numFmtId="0" xfId="0" applyBorder="1" applyFont="1"/>
    <xf borderId="8" fillId="0" fontId="3" numFmtId="0" xfId="0" applyBorder="1" applyFont="1"/>
    <xf borderId="17" fillId="3" fontId="6" numFmtId="0" xfId="0" applyAlignment="1" applyBorder="1" applyFont="1">
      <alignment horizontal="right"/>
    </xf>
    <xf borderId="10" fillId="3" fontId="6" numFmtId="0" xfId="0" applyAlignment="1" applyBorder="1" applyFont="1">
      <alignment horizontal="right"/>
    </xf>
    <xf borderId="0" fillId="0" fontId="3" numFmtId="0" xfId="0" applyAlignment="1" applyFont="1">
      <alignment horizontal="right" vertical="top"/>
    </xf>
    <xf borderId="0" fillId="0" fontId="7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/>
    </xf>
    <xf borderId="0" fillId="0" fontId="8" numFmtId="0" xfId="0" applyFont="1"/>
    <xf borderId="20" fillId="0" fontId="2" numFmtId="0" xfId="0" applyBorder="1" applyFont="1"/>
    <xf borderId="21" fillId="0" fontId="8" numFmtId="0" xfId="0" applyBorder="1" applyFont="1"/>
    <xf borderId="22" fillId="0" fontId="8" numFmtId="0" xfId="0" applyBorder="1" applyFont="1"/>
    <xf borderId="22" fillId="0" fontId="8" numFmtId="0" xfId="0" applyAlignment="1" applyBorder="1" applyFont="1">
      <alignment horizontal="center"/>
    </xf>
    <xf borderId="22" fillId="0" fontId="2" numFmtId="0" xfId="0" applyBorder="1" applyFont="1"/>
    <xf borderId="23" fillId="0" fontId="2" numFmtId="0" xfId="0" applyBorder="1" applyFont="1"/>
    <xf borderId="0" fillId="0" fontId="8" numFmtId="0" xfId="0" applyAlignment="1" applyFont="1">
      <alignment vertical="center"/>
    </xf>
    <xf borderId="0" fillId="0" fontId="8" numFmtId="0" xfId="0" applyAlignment="1" applyFont="1">
      <alignment shrinkToFit="0" vertical="center" wrapText="1"/>
    </xf>
    <xf borderId="0" fillId="0" fontId="8" numFmtId="16" xfId="0" applyAlignment="1" applyFont="1" applyNumberFormat="1">
      <alignment shrinkToFit="0" vertical="center" wrapText="1"/>
    </xf>
    <xf borderId="0" fillId="0" fontId="8" numFmtId="17" xfId="0" applyAlignment="1" applyFont="1" applyNumberFormat="1">
      <alignment shrinkToFit="0" vertical="center" wrapText="1"/>
    </xf>
    <xf borderId="24" fillId="0" fontId="8" numFmtId="0" xfId="0" applyBorder="1" applyFont="1"/>
    <xf borderId="25" fillId="0" fontId="9" numFmtId="0" xfId="0" applyAlignment="1" applyBorder="1" applyFont="1">
      <alignment horizontal="right"/>
    </xf>
    <xf borderId="25" fillId="0" fontId="8" numFmtId="0" xfId="0" applyBorder="1" applyFont="1"/>
    <xf borderId="26" fillId="0" fontId="8" numFmtId="0" xfId="0" applyBorder="1" applyFont="1"/>
    <xf borderId="17" fillId="4" fontId="8" numFmtId="166" xfId="0" applyAlignment="1" applyBorder="1" applyFill="1" applyFont="1" applyNumberFormat="1">
      <alignment horizontal="center"/>
    </xf>
    <xf borderId="0" fillId="0" fontId="10" numFmtId="0" xfId="0" applyFont="1"/>
    <xf borderId="27" fillId="0" fontId="10" numFmtId="0" xfId="0" applyBorder="1" applyFont="1"/>
    <xf borderId="0" fillId="0" fontId="10" numFmtId="167" xfId="0" applyFont="1" applyNumberFormat="1"/>
    <xf borderId="20" fillId="0" fontId="10" numFmtId="167" xfId="0" applyBorder="1" applyFont="1" applyNumberFormat="1"/>
    <xf borderId="20" fillId="0" fontId="10" numFmtId="0" xfId="0" applyBorder="1" applyFont="1"/>
    <xf borderId="28" fillId="4" fontId="10" numFmtId="166" xfId="0" applyBorder="1" applyFont="1" applyNumberFormat="1"/>
    <xf borderId="28" fillId="4" fontId="10" numFmtId="168" xfId="0" applyBorder="1" applyFont="1" applyNumberFormat="1"/>
    <xf borderId="25" fillId="0" fontId="10" numFmtId="0" xfId="0" applyBorder="1" applyFont="1"/>
    <xf borderId="25" fillId="0" fontId="10" numFmtId="0" xfId="0" applyAlignment="1" applyBorder="1" applyFont="1">
      <alignment shrinkToFit="0" vertical="center" wrapText="1"/>
    </xf>
    <xf borderId="25" fillId="0" fontId="11" numFmtId="0" xfId="0" applyAlignment="1" applyBorder="1" applyFont="1">
      <alignment shrinkToFit="0" vertical="center" wrapText="1"/>
    </xf>
    <xf borderId="25" fillId="0" fontId="10" numFmtId="0" xfId="0" applyAlignment="1" applyBorder="1" applyFont="1">
      <alignment horizontal="right" shrinkToFit="0" vertical="center" wrapText="1"/>
    </xf>
    <xf borderId="0" fillId="0" fontId="10" numFmtId="167" xfId="0" applyAlignment="1" applyFont="1" applyNumberFormat="1">
      <alignment shrinkToFit="0" vertical="top" wrapText="1"/>
    </xf>
    <xf borderId="0" fillId="0" fontId="10" numFmtId="1" xfId="0" applyAlignment="1" applyFont="1" applyNumberFormat="1">
      <alignment shrinkToFit="0" vertical="top" wrapText="1"/>
    </xf>
    <xf borderId="29" fillId="4" fontId="10" numFmtId="166" xfId="0" applyBorder="1" applyFont="1" applyNumberFormat="1"/>
    <xf borderId="30" fillId="4" fontId="10" numFmtId="166" xfId="0" applyBorder="1" applyFont="1" applyNumberFormat="1"/>
    <xf borderId="0" fillId="0" fontId="10" numFmtId="0" xfId="0" applyAlignment="1" applyFont="1">
      <alignment vertical="top"/>
    </xf>
    <xf borderId="20" fillId="0" fontId="11" numFmtId="0" xfId="0" applyAlignment="1" applyBorder="1" applyFont="1">
      <alignment vertical="center"/>
    </xf>
    <xf borderId="0" fillId="0" fontId="10" numFmtId="0" xfId="0" applyAlignment="1" applyFont="1">
      <alignment horizontal="right" vertical="center"/>
    </xf>
    <xf borderId="27" fillId="0" fontId="10" numFmtId="0" xfId="0" applyAlignment="1" applyBorder="1" applyFont="1">
      <alignment shrinkToFit="0" vertical="top" wrapText="1"/>
    </xf>
    <xf borderId="0" fillId="0" fontId="11" numFmtId="0" xfId="0" applyAlignment="1" applyFont="1">
      <alignment shrinkToFit="0" vertical="center" wrapText="1"/>
    </xf>
    <xf borderId="0" fillId="0" fontId="10" numFmtId="0" xfId="0" applyAlignment="1" applyFont="1">
      <alignment horizontal="right" shrinkToFit="0" vertical="center" wrapText="1"/>
    </xf>
    <xf borderId="20" fillId="0" fontId="10" numFmtId="0" xfId="0" applyAlignment="1" applyBorder="1" applyFont="1">
      <alignment horizontal="right" shrinkToFit="0" vertical="center" wrapText="1"/>
    </xf>
    <xf borderId="0" fillId="0" fontId="10" numFmtId="0" xfId="0" applyAlignment="1" applyFont="1">
      <alignment vertical="center"/>
    </xf>
    <xf borderId="27" fillId="0" fontId="11" numFmtId="0" xfId="0" applyAlignment="1" applyBorder="1" applyFont="1">
      <alignment shrinkToFit="0" vertical="center" wrapText="1"/>
    </xf>
    <xf borderId="31" fillId="4" fontId="10" numFmtId="166" xfId="0" applyBorder="1" applyFont="1" applyNumberFormat="1"/>
    <xf borderId="27" fillId="0" fontId="8" numFmtId="0" xfId="0" applyBorder="1" applyFont="1"/>
    <xf borderId="0" fillId="0" fontId="9" numFmtId="0" xfId="0" applyAlignment="1" applyFont="1">
      <alignment horizontal="right"/>
    </xf>
    <xf borderId="0" fillId="0" fontId="9" numFmtId="0" xfId="0" applyFont="1"/>
    <xf borderId="21" fillId="0" fontId="10" numFmtId="166" xfId="0" applyBorder="1" applyFont="1" applyNumberFormat="1"/>
    <xf borderId="23" fillId="0" fontId="10" numFmtId="0" xfId="0" applyBorder="1" applyFont="1"/>
    <xf borderId="0" fillId="0" fontId="10" numFmtId="169" xfId="0" applyFont="1" applyNumberFormat="1"/>
    <xf borderId="27" fillId="0" fontId="10" numFmtId="166" xfId="0" applyBorder="1" applyFont="1" applyNumberFormat="1"/>
    <xf borderId="20" fillId="0" fontId="10" numFmtId="169" xfId="0" applyBorder="1" applyFont="1" applyNumberFormat="1"/>
    <xf borderId="0" fillId="0" fontId="10" numFmtId="170" xfId="0" applyFont="1" applyNumberFormat="1"/>
    <xf borderId="24" fillId="0" fontId="10" numFmtId="166" xfId="0" applyBorder="1" applyFont="1" applyNumberFormat="1"/>
    <xf borderId="26" fillId="0" fontId="10" numFmtId="169" xfId="0" applyBorder="1" applyFont="1" applyNumberFormat="1"/>
    <xf borderId="0" fillId="0" fontId="10" numFmtId="167" xfId="0" applyAlignment="1" applyFont="1" applyNumberFormat="1">
      <alignment horizontal="right" shrinkToFit="0" vertical="center" wrapText="1"/>
    </xf>
    <xf borderId="0" fillId="0" fontId="10" numFmtId="167" xfId="0" applyAlignment="1" applyFont="1" applyNumberFormat="1">
      <alignment vertical="center"/>
    </xf>
    <xf borderId="24" fillId="0" fontId="10" numFmtId="0" xfId="0" applyBorder="1" applyFont="1"/>
    <xf borderId="26" fillId="0" fontId="10" numFmtId="0" xfId="0" applyBorder="1" applyFont="1"/>
    <xf borderId="32" fillId="0" fontId="8" numFmtId="0" xfId="0" applyBorder="1" applyFont="1"/>
    <xf borderId="33" fillId="0" fontId="8" numFmtId="0" xfId="0" applyBorder="1" applyFont="1"/>
    <xf borderId="34" fillId="0" fontId="8" numFmtId="0" xfId="0" applyBorder="1" applyFont="1"/>
    <xf borderId="27" fillId="0" fontId="10" numFmtId="1" xfId="0" applyBorder="1" applyFont="1" applyNumberFormat="1"/>
    <xf borderId="0" fillId="0" fontId="10" numFmtId="1" xfId="0" applyFont="1" applyNumberFormat="1"/>
    <xf borderId="20" fillId="0" fontId="10" numFmtId="1" xfId="0" applyBorder="1" applyFont="1" applyNumberFormat="1"/>
    <xf borderId="27" fillId="0" fontId="10" numFmtId="171" xfId="0" applyBorder="1" applyFont="1" applyNumberFormat="1"/>
    <xf borderId="0" fillId="0" fontId="10" numFmtId="171" xfId="0" applyFont="1" applyNumberFormat="1"/>
    <xf borderId="20" fillId="0" fontId="10" numFmtId="171" xfId="0" applyBorder="1" applyFont="1" applyNumberFormat="1"/>
    <xf borderId="24" fillId="0" fontId="10" numFmtId="171" xfId="0" applyBorder="1" applyFont="1" applyNumberFormat="1"/>
    <xf borderId="25" fillId="0" fontId="10" numFmtId="171" xfId="0" applyBorder="1" applyFont="1" applyNumberFormat="1"/>
    <xf borderId="26" fillId="0" fontId="10" numFmtId="171" xfId="0" applyBorder="1" applyFont="1" applyNumberFormat="1"/>
    <xf borderId="17" fillId="5" fontId="12" numFmtId="0" xfId="0" applyAlignment="1" applyBorder="1" applyFill="1" applyFont="1">
      <alignment horizontal="center"/>
    </xf>
    <xf borderId="32" fillId="0" fontId="13" numFmtId="0" xfId="0" applyAlignment="1" applyBorder="1" applyFont="1">
      <alignment horizontal="center" vertical="center"/>
    </xf>
    <xf borderId="33" fillId="0" fontId="14" numFmtId="0" xfId="0" applyAlignment="1" applyBorder="1" applyFont="1">
      <alignment horizontal="center" vertical="center"/>
    </xf>
    <xf borderId="33" fillId="0" fontId="15" numFmtId="0" xfId="0" applyAlignment="1" applyBorder="1" applyFont="1">
      <alignment horizontal="center" vertical="center"/>
    </xf>
    <xf borderId="34" fillId="0" fontId="14" numFmtId="0" xfId="0" applyAlignment="1" applyBorder="1" applyFont="1">
      <alignment horizontal="center" vertical="center"/>
    </xf>
    <xf borderId="27" fillId="0" fontId="13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28" fillId="6" fontId="13" numFmtId="3" xfId="0" applyAlignment="1" applyBorder="1" applyFill="1" applyFont="1" applyNumberFormat="1">
      <alignment horizontal="center"/>
    </xf>
    <xf borderId="0" fillId="0" fontId="13" numFmtId="2" xfId="0" applyAlignment="1" applyFont="1" applyNumberFormat="1">
      <alignment horizontal="center"/>
    </xf>
    <xf borderId="28" fillId="6" fontId="13" numFmtId="167" xfId="0" applyAlignment="1" applyBorder="1" applyFont="1" applyNumberFormat="1">
      <alignment horizontal="center"/>
    </xf>
    <xf borderId="0" fillId="0" fontId="13" numFmtId="167" xfId="0" applyAlignment="1" applyFont="1" applyNumberFormat="1">
      <alignment horizontal="center"/>
    </xf>
    <xf borderId="28" fillId="6" fontId="13" numFmtId="0" xfId="0" applyAlignment="1" applyBorder="1" applyFont="1">
      <alignment horizontal="center"/>
    </xf>
    <xf borderId="28" fillId="7" fontId="16" numFmtId="2" xfId="0" applyAlignment="1" applyBorder="1" applyFill="1" applyFont="1" applyNumberFormat="1">
      <alignment horizontal="center"/>
    </xf>
    <xf borderId="0" fillId="0" fontId="13" numFmtId="172" xfId="0" applyAlignment="1" applyFont="1" applyNumberFormat="1">
      <alignment horizontal="center"/>
    </xf>
    <xf borderId="0" fillId="0" fontId="13" numFmtId="3" xfId="0" applyAlignment="1" applyFont="1" applyNumberFormat="1">
      <alignment horizontal="center"/>
    </xf>
    <xf borderId="0" fillId="0" fontId="13" numFmtId="165" xfId="0" applyAlignment="1" applyFont="1" applyNumberFormat="1">
      <alignment horizontal="center"/>
    </xf>
    <xf borderId="20" fillId="0" fontId="14" numFmtId="2" xfId="0" applyBorder="1" applyFont="1" applyNumberFormat="1"/>
    <xf borderId="28" fillId="6" fontId="13" numFmtId="2" xfId="0" applyAlignment="1" applyBorder="1" applyFont="1" applyNumberFormat="1">
      <alignment horizontal="center"/>
    </xf>
    <xf borderId="21" fillId="0" fontId="14" numFmtId="0" xfId="0" applyAlignment="1" applyBorder="1" applyFont="1">
      <alignment horizontal="center" shrinkToFit="0" vertical="center" wrapText="1"/>
    </xf>
    <xf borderId="27" fillId="0" fontId="2" numFmtId="0" xfId="0" applyBorder="1" applyFont="1"/>
    <xf borderId="24" fillId="0" fontId="2" numFmtId="0" xfId="0" applyBorder="1" applyFont="1"/>
    <xf borderId="26" fillId="0" fontId="2" numFmtId="0" xfId="0" applyBorder="1" applyFont="1"/>
    <xf borderId="35" fillId="0" fontId="12" numFmtId="0" xfId="0" applyAlignment="1" applyBorder="1" applyFont="1">
      <alignment horizontal="center" vertical="center"/>
    </xf>
    <xf borderId="35" fillId="0" fontId="14" numFmtId="2" xfId="0" applyBorder="1" applyFont="1" applyNumberFormat="1"/>
    <xf borderId="35" fillId="0" fontId="12" numFmtId="0" xfId="0" applyBorder="1" applyFont="1"/>
    <xf borderId="24" fillId="0" fontId="13" numFmtId="0" xfId="0" applyAlignment="1" applyBorder="1" applyFont="1">
      <alignment horizontal="center"/>
    </xf>
    <xf borderId="25" fillId="0" fontId="13" numFmtId="0" xfId="0" applyAlignment="1" applyBorder="1" applyFont="1">
      <alignment horizontal="center"/>
    </xf>
    <xf borderId="36" fillId="6" fontId="13" numFmtId="3" xfId="0" applyAlignment="1" applyBorder="1" applyFont="1" applyNumberFormat="1">
      <alignment horizontal="center"/>
    </xf>
    <xf borderId="25" fillId="0" fontId="13" numFmtId="2" xfId="0" applyAlignment="1" applyBorder="1" applyFont="1" applyNumberFormat="1">
      <alignment horizontal="center"/>
    </xf>
    <xf borderId="25" fillId="0" fontId="13" numFmtId="167" xfId="0" applyAlignment="1" applyBorder="1" applyFont="1" applyNumberFormat="1">
      <alignment horizontal="center"/>
    </xf>
    <xf borderId="25" fillId="0" fontId="13" numFmtId="172" xfId="0" applyAlignment="1" applyBorder="1" applyFont="1" applyNumberFormat="1">
      <alignment horizontal="center"/>
    </xf>
    <xf borderId="25" fillId="0" fontId="13" numFmtId="3" xfId="0" applyAlignment="1" applyBorder="1" applyFont="1" applyNumberFormat="1">
      <alignment horizontal="center"/>
    </xf>
    <xf borderId="25" fillId="0" fontId="13" numFmtId="165" xfId="0" applyAlignment="1" applyBorder="1" applyFont="1" applyNumberFormat="1">
      <alignment horizontal="center"/>
    </xf>
    <xf borderId="36" fillId="6" fontId="13" numFmtId="2" xfId="0" applyAlignment="1" applyBorder="1" applyFont="1" applyNumberFormat="1">
      <alignment horizontal="center"/>
    </xf>
    <xf borderId="26" fillId="0" fontId="14" numFmtId="2" xfId="0" applyBorder="1" applyFont="1" applyNumberFormat="1"/>
    <xf borderId="17" fillId="8" fontId="12" numFmtId="0" xfId="0" applyAlignment="1" applyBorder="1" applyFill="1" applyFont="1">
      <alignment horizontal="center"/>
    </xf>
    <xf borderId="0" fillId="0" fontId="15" numFmtId="0" xfId="0" applyAlignment="1" applyFont="1">
      <alignment horizontal="left"/>
    </xf>
    <xf borderId="0" fillId="0" fontId="12" numFmtId="0" xfId="0" applyFont="1"/>
    <xf borderId="28" fillId="9" fontId="13" numFmtId="3" xfId="0" applyAlignment="1" applyBorder="1" applyFill="1" applyFont="1" applyNumberFormat="1">
      <alignment horizontal="center"/>
    </xf>
    <xf borderId="28" fillId="9" fontId="13" numFmtId="167" xfId="0" applyAlignment="1" applyBorder="1" applyFont="1" applyNumberFormat="1">
      <alignment horizontal="center"/>
    </xf>
    <xf borderId="28" fillId="9" fontId="13" numFmtId="0" xfId="0" applyAlignment="1" applyBorder="1" applyFont="1">
      <alignment horizontal="center"/>
    </xf>
    <xf borderId="0" fillId="10" fontId="16" numFmtId="2" xfId="0" applyAlignment="1" applyFill="1" applyFont="1" applyNumberFormat="1">
      <alignment horizontal="center"/>
    </xf>
    <xf borderId="0" fillId="0" fontId="16" numFmtId="2" xfId="0" applyAlignment="1" applyFont="1" applyNumberFormat="1">
      <alignment horizontal="center"/>
    </xf>
    <xf borderId="35" fillId="0" fontId="14" numFmtId="0" xfId="0" applyBorder="1" applyFont="1"/>
    <xf borderId="0" fillId="0" fontId="14" numFmtId="0" xfId="0" applyAlignment="1" applyFont="1">
      <alignment horizontal="center"/>
    </xf>
    <xf borderId="0" fillId="0" fontId="14" numFmtId="2" xfId="0" applyFont="1" applyNumberFormat="1"/>
    <xf borderId="0" fillId="0" fontId="17" numFmtId="0" xfId="0" applyFont="1"/>
    <xf borderId="36" fillId="9" fontId="13" numFmtId="3" xfId="0" applyAlignment="1" applyBorder="1" applyFont="1" applyNumberFormat="1">
      <alignment horizontal="center"/>
    </xf>
    <xf borderId="36" fillId="9" fontId="13" numFmtId="2" xfId="0" applyAlignment="1" applyBorder="1" applyFont="1" applyNumberFormat="1">
      <alignment horizontal="center"/>
    </xf>
    <xf borderId="0" fillId="0" fontId="17" numFmtId="0" xfId="0" applyAlignment="1" applyFont="1">
      <alignment readingOrder="0"/>
    </xf>
    <xf borderId="0" fillId="0" fontId="17" numFmtId="11" xfId="0" applyAlignment="1" applyFont="1" applyNumberFormat="1">
      <alignment readingOrder="0"/>
    </xf>
    <xf borderId="0" fillId="11" fontId="17" numFmtId="0" xfId="0" applyAlignment="1" applyFill="1" applyFont="1">
      <alignment readingOrder="0"/>
    </xf>
    <xf borderId="0" fillId="11" fontId="17" numFmtId="11" xfId="0" applyAlignment="1" applyFont="1" applyNumberFormat="1">
      <alignment readingOrder="0"/>
    </xf>
    <xf borderId="0" fillId="11" fontId="17" numFmtId="0" xfId="0" applyFont="1"/>
    <xf borderId="0" fillId="12" fontId="17" numFmtId="0" xfId="0" applyFill="1" applyFont="1"/>
    <xf borderId="0" fillId="12" fontId="14" numFmtId="0" xfId="0" applyFont="1"/>
    <xf borderId="0" fillId="13" fontId="17" numFmtId="0" xfId="0" applyFill="1" applyFont="1"/>
    <xf borderId="0" fillId="13" fontId="17" numFmtId="0" xfId="0" applyAlignment="1" applyFont="1">
      <alignment readingOrder="0"/>
    </xf>
    <xf borderId="0" fillId="13" fontId="17" numFmtId="11" xfId="0" applyAlignment="1" applyFont="1" applyNumberFormat="1">
      <alignment readingOrder="0"/>
    </xf>
    <xf borderId="0" fillId="14" fontId="17" numFmtId="0" xfId="0" applyFill="1" applyFont="1"/>
    <xf borderId="0" fillId="14" fontId="14" numFmtId="0" xfId="0" applyFont="1"/>
    <xf borderId="28" fillId="12" fontId="14" numFmtId="0" xfId="0" applyBorder="1" applyFont="1"/>
    <xf borderId="0" fillId="0" fontId="14" numFmtId="0" xfId="0" applyFont="1"/>
    <xf borderId="28" fillId="9" fontId="1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Esperanza de vida al nacer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'Decrementos Múltiples'!$AA$26:$AB$26</c:f>
            </c:strRef>
          </c:cat>
          <c:val>
            <c:numRef>
              <c:f>'Decrementos Múltiples'!$AA$27:$AB$27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'Decrementos Múltiples'!$AA$26:$AB$26</c:f>
            </c:strRef>
          </c:cat>
          <c:val>
            <c:numRef>
              <c:f>'Decrementos Múltiples'!$AA$28:$AB$28</c:f>
              <c:numCache/>
            </c:numRef>
          </c:val>
        </c:ser>
        <c:axId val="1247779104"/>
        <c:axId val="542933025"/>
      </c:barChart>
      <c:catAx>
        <c:axId val="1247779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42933025"/>
      </c:catAx>
      <c:valAx>
        <c:axId val="54293302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777910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rgbClr val="757575"/>
                </a:solidFill>
                <a:latin typeface="+mn-lt"/>
              </a:defRPr>
            </a:pPr>
            <a:r>
              <a:rPr b="0" i="0" sz="1800">
                <a:solidFill>
                  <a:srgbClr val="757575"/>
                </a:solidFill>
                <a:latin typeface="+mn-lt"/>
              </a:rPr>
              <a:t>Mujeres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nqx</c:v>
          </c:tx>
          <c:spPr>
            <a:ln cmpd="sng">
              <a:solidFill>
                <a:srgbClr val="C27BA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'Decrementos Múltiples'!$B$27:$B$45</c:f>
            </c:strRef>
          </c:cat>
          <c:val>
            <c:numRef>
              <c:f>'Decrementos Múltiples'!$I$27:$I$45</c:f>
              <c:numCache/>
            </c:numRef>
          </c:val>
          <c:smooth val="0"/>
        </c:ser>
        <c:ser>
          <c:idx val="1"/>
          <c:order val="1"/>
          <c:tx>
            <c:v>nqx_i</c:v>
          </c:tx>
          <c:spPr>
            <a:ln cmpd="sng">
              <a:solidFill>
                <a:srgbClr val="F1C23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'Decrementos Múltiples'!$B$27:$B$45</c:f>
            </c:strRef>
          </c:cat>
          <c:val>
            <c:numRef>
              <c:f>'Decrementos Múltiples'!$M$27:$M$45</c:f>
              <c:numCache/>
            </c:numRef>
          </c:val>
          <c:smooth val="0"/>
        </c:ser>
        <c:axId val="535608680"/>
        <c:axId val="1219273278"/>
      </c:lineChart>
      <c:catAx>
        <c:axId val="535608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19273278"/>
      </c:catAx>
      <c:valAx>
        <c:axId val="1219273278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35608680"/>
      </c:valAx>
    </c:plotArea>
    <c:legend>
      <c:legendPos val="b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9.png"/><Relationship Id="rId4" Type="http://schemas.openxmlformats.org/officeDocument/2006/relationships/image" Target="../media/image7.png"/><Relationship Id="rId11" Type="http://schemas.openxmlformats.org/officeDocument/2006/relationships/image" Target="../media/image5.png"/><Relationship Id="rId10" Type="http://schemas.openxmlformats.org/officeDocument/2006/relationships/image" Target="../media/image4.png"/><Relationship Id="rId9" Type="http://schemas.openxmlformats.org/officeDocument/2006/relationships/image" Target="../media/image3.png"/><Relationship Id="rId5" Type="http://schemas.openxmlformats.org/officeDocument/2006/relationships/image" Target="../media/image6.png"/><Relationship Id="rId6" Type="http://schemas.openxmlformats.org/officeDocument/2006/relationships/image" Target="../media/image1.png"/><Relationship Id="rId7" Type="http://schemas.openxmlformats.org/officeDocument/2006/relationships/image" Target="../media/image2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504825</xdr:colOff>
      <xdr:row>29</xdr:row>
      <xdr:rowOff>38100</xdr:rowOff>
    </xdr:from>
    <xdr:ext cx="6000750" cy="3133725"/>
    <xdr:graphicFrame>
      <xdr:nvGraphicFramePr>
        <xdr:cNvPr id="25452375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29</xdr:col>
      <xdr:colOff>38100</xdr:colOff>
      <xdr:row>2</xdr:row>
      <xdr:rowOff>9525</xdr:rowOff>
    </xdr:from>
    <xdr:ext cx="5695950" cy="4629150"/>
    <xdr:graphicFrame>
      <xdr:nvGraphicFramePr>
        <xdr:cNvPr id="1430328906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342900</xdr:colOff>
      <xdr:row>25</xdr:row>
      <xdr:rowOff>66675</xdr:rowOff>
    </xdr:from>
    <xdr:ext cx="323850" cy="266700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25</xdr:row>
      <xdr:rowOff>66675</xdr:rowOff>
    </xdr:from>
    <xdr:ext cx="171450" cy="25717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25</xdr:row>
      <xdr:rowOff>66675</xdr:rowOff>
    </xdr:from>
    <xdr:ext cx="381000" cy="25717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323850</xdr:colOff>
      <xdr:row>25</xdr:row>
      <xdr:rowOff>66675</xdr:rowOff>
    </xdr:from>
    <xdr:ext cx="381000" cy="25717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323850</xdr:colOff>
      <xdr:row>25</xdr:row>
      <xdr:rowOff>66675</xdr:rowOff>
    </xdr:from>
    <xdr:ext cx="352425" cy="25717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25</xdr:row>
      <xdr:rowOff>66675</xdr:rowOff>
    </xdr:from>
    <xdr:ext cx="476250" cy="2667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285750</xdr:colOff>
      <xdr:row>25</xdr:row>
      <xdr:rowOff>66675</xdr:rowOff>
    </xdr:from>
    <xdr:ext cx="390525" cy="266700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285750</xdr:colOff>
      <xdr:row>25</xdr:row>
      <xdr:rowOff>66675</xdr:rowOff>
    </xdr:from>
    <xdr:ext cx="476250" cy="26670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247650</xdr:colOff>
      <xdr:row>25</xdr:row>
      <xdr:rowOff>66675</xdr:rowOff>
    </xdr:from>
    <xdr:ext cx="428625" cy="266700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342900</xdr:colOff>
      <xdr:row>2</xdr:row>
      <xdr:rowOff>66675</xdr:rowOff>
    </xdr:from>
    <xdr:ext cx="381000" cy="25717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2</xdr:row>
      <xdr:rowOff>66675</xdr:rowOff>
    </xdr:from>
    <xdr:ext cx="352425" cy="25717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381000</xdr:colOff>
      <xdr:row>2</xdr:row>
      <xdr:rowOff>66675</xdr:rowOff>
    </xdr:from>
    <xdr:ext cx="323850" cy="266700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371475</xdr:colOff>
      <xdr:row>2</xdr:row>
      <xdr:rowOff>66675</xdr:rowOff>
    </xdr:from>
    <xdr:ext cx="171450" cy="25717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342900</xdr:colOff>
      <xdr:row>2</xdr:row>
      <xdr:rowOff>66675</xdr:rowOff>
    </xdr:from>
    <xdr:ext cx="381000" cy="25717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314325</xdr:colOff>
      <xdr:row>2</xdr:row>
      <xdr:rowOff>57150</xdr:rowOff>
    </xdr:from>
    <xdr:ext cx="476250" cy="266700"/>
    <xdr:pic>
      <xdr:nvPicPr>
        <xdr:cNvPr id="0" name="image8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342900</xdr:colOff>
      <xdr:row>2</xdr:row>
      <xdr:rowOff>57150</xdr:rowOff>
    </xdr:from>
    <xdr:ext cx="390525" cy="266700"/>
    <xdr:pic>
      <xdr:nvPicPr>
        <xdr:cNvPr id="0" name="image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314325</xdr:colOff>
      <xdr:row>2</xdr:row>
      <xdr:rowOff>57150</xdr:rowOff>
    </xdr:from>
    <xdr:ext cx="476250" cy="26670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314325</xdr:colOff>
      <xdr:row>2</xdr:row>
      <xdr:rowOff>57150</xdr:rowOff>
    </xdr:from>
    <xdr:ext cx="428625" cy="266700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4.%20TV-COVID-2020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D"/>
      <sheetName val="COVID"/>
      <sheetName val="EQ"/>
      <sheetName val="Defunciones"/>
      <sheetName val="TV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emographicestimation.iussp.org/content/indirect-estimation-child-mortality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0"/>
    <col customWidth="1" min="2" max="2" width="75.13"/>
    <col customWidth="1" min="3" max="3" width="27.88"/>
    <col customWidth="1" min="4" max="5" width="8.38"/>
    <col customWidth="1" min="6" max="6" width="8.88"/>
    <col customWidth="1" min="7" max="26" width="14.38"/>
  </cols>
  <sheetData>
    <row r="1" ht="41.25" customHeight="1">
      <c r="A1" s="1" t="s">
        <v>0</v>
      </c>
      <c r="B1" s="2"/>
      <c r="C1" s="3"/>
      <c r="D1" s="3"/>
      <c r="E1" s="3"/>
      <c r="F1" s="3"/>
    </row>
    <row r="2" ht="15.75" customHeight="1">
      <c r="C2" s="3"/>
      <c r="D2" s="3"/>
      <c r="E2" s="3"/>
      <c r="F2" s="3"/>
    </row>
    <row r="3" ht="15.75" customHeight="1">
      <c r="A3" s="4" t="s">
        <v>1</v>
      </c>
      <c r="B3" s="4"/>
      <c r="C3" s="3"/>
      <c r="D3" s="3"/>
      <c r="E3" s="3"/>
      <c r="F3" s="3"/>
    </row>
    <row r="4" ht="15.75" customHeight="1">
      <c r="A4" s="5" t="s">
        <v>2</v>
      </c>
      <c r="C4" s="3"/>
      <c r="D4" s="3"/>
      <c r="E4" s="3"/>
      <c r="F4" s="3"/>
    </row>
    <row r="5" ht="15.75" customHeight="1">
      <c r="A5" s="3"/>
      <c r="B5" s="6"/>
      <c r="C5" s="3"/>
      <c r="D5" s="3"/>
      <c r="E5" s="3"/>
      <c r="F5" s="3"/>
    </row>
    <row r="6" ht="50.25" customHeight="1">
      <c r="A6" s="7" t="s">
        <v>3</v>
      </c>
      <c r="C6" s="3"/>
      <c r="D6" s="3"/>
      <c r="E6" s="3"/>
      <c r="F6" s="3"/>
    </row>
    <row r="7" ht="15.75" customHeight="1">
      <c r="A7" s="3"/>
      <c r="B7" s="6"/>
      <c r="C7" s="3"/>
      <c r="D7" s="3"/>
      <c r="E7" s="3"/>
      <c r="F7" s="3"/>
    </row>
    <row r="8" ht="15.75" customHeight="1">
      <c r="A8" s="8" t="s">
        <v>4</v>
      </c>
      <c r="B8" s="6"/>
      <c r="C8" s="3"/>
      <c r="D8" s="3"/>
      <c r="E8" s="3"/>
      <c r="F8" s="3"/>
    </row>
    <row r="9" ht="15.75" customHeight="1">
      <c r="A9" s="9">
        <v>1.0</v>
      </c>
      <c r="B9" s="10" t="s">
        <v>5</v>
      </c>
      <c r="C9" s="11" t="s">
        <v>6</v>
      </c>
      <c r="D9" s="12" t="s">
        <v>7</v>
      </c>
      <c r="E9" s="13"/>
      <c r="F9" s="14"/>
    </row>
    <row r="10" ht="15.75" customHeight="1">
      <c r="A10" s="15"/>
      <c r="B10" s="6"/>
      <c r="C10" s="16"/>
      <c r="D10" s="17"/>
      <c r="F10" s="18"/>
    </row>
    <row r="11" ht="15.75" customHeight="1">
      <c r="A11" s="6">
        <v>2.0</v>
      </c>
      <c r="B11" s="6" t="s">
        <v>8</v>
      </c>
      <c r="C11" s="19" t="s">
        <v>9</v>
      </c>
      <c r="D11" s="20">
        <v>43891.0</v>
      </c>
      <c r="E11" s="21"/>
      <c r="F11" s="22"/>
    </row>
    <row r="12" ht="15.75" customHeight="1">
      <c r="A12" s="15"/>
      <c r="B12" s="6"/>
      <c r="C12" s="3"/>
      <c r="D12" s="3"/>
      <c r="E12" s="3"/>
      <c r="F12" s="3"/>
    </row>
    <row r="13" ht="15.75" customHeight="1">
      <c r="A13" s="15"/>
      <c r="B13" s="6"/>
      <c r="C13" s="3"/>
      <c r="D13" s="3"/>
      <c r="E13" s="3"/>
      <c r="F13" s="3"/>
    </row>
    <row r="14" ht="15.75" customHeight="1">
      <c r="A14" s="10">
        <v>3.0</v>
      </c>
      <c r="B14" s="6" t="s">
        <v>10</v>
      </c>
      <c r="C14" s="23" t="s">
        <v>11</v>
      </c>
      <c r="D14" s="24" t="s">
        <v>12</v>
      </c>
      <c r="E14" s="25"/>
      <c r="F14" s="26"/>
    </row>
    <row r="15" ht="15.75" customHeight="1">
      <c r="C15" s="3"/>
      <c r="D15" s="3"/>
      <c r="E15" s="3"/>
      <c r="F15" s="3"/>
    </row>
    <row r="16" ht="15.75" customHeight="1">
      <c r="C16" s="3"/>
      <c r="D16" s="27"/>
      <c r="E16" s="27"/>
      <c r="F16" s="27"/>
    </row>
    <row r="17" ht="15.75" customHeight="1">
      <c r="A17" s="3">
        <v>4.0</v>
      </c>
      <c r="B17" s="6" t="s">
        <v>13</v>
      </c>
      <c r="C17" s="11" t="s">
        <v>14</v>
      </c>
      <c r="D17" s="28" t="s">
        <v>15</v>
      </c>
      <c r="E17" s="13"/>
      <c r="F17" s="14"/>
    </row>
    <row r="18" ht="15.75" customHeight="1">
      <c r="C18" s="16" t="s">
        <v>16</v>
      </c>
      <c r="D18" s="29" t="s">
        <v>17</v>
      </c>
      <c r="E18" s="30"/>
      <c r="F18" s="31"/>
    </row>
    <row r="19" ht="7.5" customHeight="1">
      <c r="C19" s="32"/>
      <c r="D19" s="3"/>
      <c r="E19" s="3"/>
      <c r="F19" s="33"/>
    </row>
    <row r="20" ht="15.75" customHeight="1">
      <c r="C20" s="16" t="s">
        <v>18</v>
      </c>
      <c r="D20" s="34" t="s">
        <v>19</v>
      </c>
      <c r="E20" s="30"/>
      <c r="F20" s="31"/>
    </row>
    <row r="21" ht="15.75" customHeight="1">
      <c r="C21" s="19" t="s">
        <v>20</v>
      </c>
      <c r="D21" s="35">
        <v>28.0</v>
      </c>
      <c r="E21" s="21"/>
      <c r="F21" s="22"/>
    </row>
    <row r="22" ht="15.75" customHeight="1">
      <c r="C22" s="3"/>
      <c r="D22" s="3"/>
      <c r="E22" s="3"/>
      <c r="F22" s="3"/>
    </row>
    <row r="23" ht="30.75" customHeight="1">
      <c r="A23" s="36">
        <v>5.0</v>
      </c>
      <c r="B23" s="6" t="s">
        <v>21</v>
      </c>
      <c r="C23" s="37" t="str">
        <f>IF(ISNA(VLOOKUP(VALUE(RIGHT(Coefficients!AM5,3)),Coefficients!$AI$34:$AI$50,1,FALSE)),"INVALID SELECTION - Please ensure that your choice of variant; family and pattern are consistent.","")</f>
        <v/>
      </c>
    </row>
    <row r="24" ht="15.75" customHeight="1">
      <c r="A24" s="3"/>
      <c r="B24" s="6"/>
      <c r="C24" s="6"/>
      <c r="D24" s="6"/>
      <c r="E24" s="6"/>
      <c r="F24" s="6"/>
    </row>
    <row r="25" ht="15.75" customHeight="1">
      <c r="A25" s="36">
        <v>6.0</v>
      </c>
      <c r="B25" s="6" t="s">
        <v>22</v>
      </c>
      <c r="C25" s="6"/>
      <c r="D25" s="6"/>
      <c r="E25" s="6"/>
      <c r="F25" s="6"/>
    </row>
    <row r="26" ht="15.75" customHeight="1">
      <c r="A26" s="3"/>
      <c r="B26" s="6"/>
      <c r="C26" s="3"/>
      <c r="D26" s="3"/>
      <c r="E26" s="3"/>
      <c r="F26" s="3"/>
    </row>
    <row r="27" ht="15.75" customHeight="1">
      <c r="A27" s="8" t="s">
        <v>23</v>
      </c>
      <c r="B27" s="6"/>
      <c r="C27" s="3"/>
      <c r="D27" s="3"/>
      <c r="E27" s="3"/>
      <c r="F27" s="3"/>
    </row>
    <row r="28" ht="15.75" customHeight="1">
      <c r="A28" s="3"/>
      <c r="B28" s="6" t="s">
        <v>24</v>
      </c>
      <c r="C28" s="3"/>
      <c r="D28" s="3"/>
      <c r="E28" s="3"/>
      <c r="F28" s="3"/>
    </row>
    <row r="29" ht="15.75" customHeight="1">
      <c r="A29" s="3"/>
      <c r="B29" s="6" t="s">
        <v>25</v>
      </c>
      <c r="C29" s="3"/>
      <c r="D29" s="3"/>
      <c r="E29" s="3"/>
      <c r="F29" s="3"/>
    </row>
    <row r="30" ht="15.75" customHeight="1">
      <c r="A30" s="3"/>
      <c r="B30" s="6"/>
      <c r="C30" s="3"/>
      <c r="D30" s="3"/>
      <c r="E30" s="3"/>
      <c r="F30" s="3"/>
    </row>
    <row r="31" ht="15.75" customHeight="1">
      <c r="A31" s="3"/>
      <c r="B31" s="6"/>
      <c r="C31" s="3"/>
      <c r="D31" s="3"/>
      <c r="E31" s="3"/>
      <c r="F31" s="3"/>
    </row>
    <row r="32" ht="15.75" customHeight="1">
      <c r="A32" s="3"/>
      <c r="B32" s="6"/>
      <c r="C32" s="3"/>
      <c r="D32" s="3"/>
      <c r="E32" s="3"/>
      <c r="F32" s="3"/>
    </row>
    <row r="33" ht="15.75" customHeight="1">
      <c r="A33" s="3"/>
      <c r="B33" s="6"/>
      <c r="C33" s="3"/>
      <c r="D33" s="3"/>
      <c r="E33" s="3"/>
      <c r="F33" s="3"/>
    </row>
    <row r="34" ht="15.75" customHeight="1">
      <c r="A34" s="3"/>
      <c r="B34" s="6"/>
      <c r="C34" s="3"/>
      <c r="D34" s="3"/>
      <c r="E34" s="3"/>
      <c r="F34" s="3"/>
    </row>
    <row r="35" ht="15.75" customHeight="1">
      <c r="A35" s="3"/>
      <c r="B35" s="6"/>
      <c r="C35" s="3"/>
      <c r="D35" s="3"/>
      <c r="E35" s="3"/>
      <c r="F35" s="3"/>
    </row>
    <row r="36" ht="15.75" customHeight="1">
      <c r="C36" s="3"/>
      <c r="D36" s="3"/>
      <c r="E36" s="3"/>
      <c r="F36" s="3"/>
    </row>
    <row r="37" ht="15.75" customHeight="1">
      <c r="C37" s="3"/>
      <c r="D37" s="3"/>
      <c r="E37" s="3"/>
      <c r="F37" s="3"/>
    </row>
    <row r="38" ht="15.75" customHeight="1">
      <c r="C38" s="3"/>
      <c r="D38" s="3"/>
      <c r="E38" s="3"/>
      <c r="F38" s="3"/>
    </row>
    <row r="39" ht="15.75" customHeight="1">
      <c r="C39" s="3"/>
      <c r="D39" s="3"/>
      <c r="E39" s="3"/>
      <c r="F39" s="3"/>
    </row>
    <row r="40" ht="15.75" customHeight="1">
      <c r="C40" s="3"/>
      <c r="D40" s="3"/>
      <c r="E40" s="3"/>
      <c r="F40" s="3"/>
    </row>
    <row r="41" ht="15.75" customHeight="1">
      <c r="C41" s="3"/>
      <c r="D41" s="3"/>
      <c r="E41" s="3"/>
      <c r="F41" s="3"/>
    </row>
    <row r="42" ht="15.75" customHeight="1">
      <c r="C42" s="3"/>
      <c r="D42" s="3"/>
      <c r="E42" s="3"/>
      <c r="F42" s="3"/>
    </row>
    <row r="43" ht="15.75" customHeight="1">
      <c r="C43" s="3"/>
      <c r="D43" s="3"/>
      <c r="E43" s="3"/>
      <c r="F43" s="3"/>
    </row>
    <row r="44" ht="15.75" customHeight="1">
      <c r="C44" s="3"/>
      <c r="D44" s="3"/>
      <c r="E44" s="3"/>
      <c r="F44" s="3"/>
    </row>
    <row r="45" ht="15.75" customHeight="1">
      <c r="C45" s="3"/>
      <c r="D45" s="3"/>
      <c r="E45" s="3"/>
      <c r="F45" s="3"/>
    </row>
    <row r="46" ht="15.75" customHeight="1">
      <c r="C46" s="3"/>
      <c r="D46" s="3"/>
      <c r="E46" s="3"/>
      <c r="F46" s="3"/>
    </row>
    <row r="47" ht="15.75" customHeight="1">
      <c r="C47" s="3"/>
      <c r="D47" s="3"/>
      <c r="E47" s="3"/>
      <c r="F47" s="3"/>
    </row>
    <row r="48" ht="15.75" customHeight="1">
      <c r="C48" s="3"/>
      <c r="D48" s="3"/>
      <c r="E48" s="3"/>
      <c r="F48" s="3"/>
    </row>
    <row r="49" ht="15.75" customHeight="1">
      <c r="C49" s="3"/>
      <c r="D49" s="3"/>
      <c r="E49" s="3"/>
      <c r="F49" s="3"/>
    </row>
    <row r="50" ht="15.75" customHeight="1">
      <c r="C50" s="3"/>
      <c r="D50" s="3"/>
      <c r="E50" s="3"/>
      <c r="F50" s="3"/>
    </row>
    <row r="51" ht="15.75" customHeight="1">
      <c r="C51" s="3"/>
      <c r="D51" s="3"/>
      <c r="E51" s="3"/>
      <c r="F51" s="3"/>
    </row>
    <row r="52" ht="15.75" customHeight="1">
      <c r="C52" s="3"/>
      <c r="D52" s="3"/>
      <c r="E52" s="3"/>
      <c r="F52" s="3"/>
    </row>
    <row r="53" ht="15.75" customHeight="1">
      <c r="C53" s="3"/>
      <c r="D53" s="3"/>
      <c r="E53" s="3"/>
      <c r="F53" s="3"/>
    </row>
    <row r="54" ht="15.75" customHeight="1">
      <c r="C54" s="3"/>
      <c r="D54" s="3"/>
      <c r="E54" s="3"/>
      <c r="F54" s="3"/>
    </row>
    <row r="55" ht="15.75" customHeight="1">
      <c r="C55" s="3"/>
      <c r="D55" s="3"/>
      <c r="E55" s="3"/>
      <c r="F55" s="3"/>
    </row>
    <row r="56" ht="15.75" customHeight="1">
      <c r="C56" s="3"/>
      <c r="D56" s="3"/>
      <c r="E56" s="3"/>
      <c r="F56" s="3"/>
    </row>
    <row r="57" ht="15.75" customHeight="1">
      <c r="C57" s="3"/>
      <c r="D57" s="3"/>
      <c r="E57" s="3"/>
      <c r="F57" s="3"/>
    </row>
    <row r="58" ht="15.75" customHeight="1">
      <c r="C58" s="3"/>
      <c r="D58" s="3"/>
      <c r="E58" s="3"/>
      <c r="F58" s="3"/>
    </row>
    <row r="59" ht="15.75" customHeight="1">
      <c r="C59" s="3"/>
      <c r="D59" s="3"/>
      <c r="E59" s="3"/>
      <c r="F59" s="3"/>
    </row>
    <row r="60" ht="15.75" customHeight="1">
      <c r="C60" s="3"/>
      <c r="D60" s="3"/>
      <c r="E60" s="3"/>
      <c r="F60" s="3"/>
    </row>
    <row r="61" ht="15.75" customHeight="1">
      <c r="C61" s="3"/>
      <c r="D61" s="3"/>
      <c r="E61" s="3"/>
      <c r="F61" s="3"/>
    </row>
    <row r="62" ht="15.75" customHeight="1">
      <c r="C62" s="3"/>
      <c r="D62" s="3"/>
      <c r="E62" s="3"/>
      <c r="F62" s="3"/>
    </row>
    <row r="63" ht="15.75" customHeight="1">
      <c r="C63" s="3"/>
      <c r="D63" s="3"/>
      <c r="E63" s="3"/>
      <c r="F63" s="3"/>
    </row>
    <row r="64" ht="15.75" customHeight="1">
      <c r="C64" s="3"/>
      <c r="D64" s="3"/>
      <c r="E64" s="3"/>
      <c r="F64" s="3"/>
    </row>
    <row r="65" ht="15.75" customHeight="1">
      <c r="C65" s="3"/>
      <c r="D65" s="3"/>
      <c r="E65" s="3"/>
      <c r="F65" s="3"/>
    </row>
    <row r="66" ht="15.75" customHeight="1">
      <c r="C66" s="3"/>
      <c r="D66" s="3"/>
      <c r="E66" s="3"/>
      <c r="F66" s="3"/>
    </row>
    <row r="67" ht="15.75" customHeight="1">
      <c r="C67" s="3"/>
      <c r="D67" s="3"/>
      <c r="E67" s="3"/>
      <c r="F67" s="3"/>
    </row>
    <row r="68" ht="15.75" customHeight="1">
      <c r="C68" s="3"/>
      <c r="D68" s="3"/>
      <c r="E68" s="3"/>
      <c r="F68" s="3"/>
    </row>
    <row r="69" ht="15.75" customHeight="1">
      <c r="C69" s="3"/>
      <c r="D69" s="3"/>
      <c r="E69" s="3"/>
      <c r="F69" s="3"/>
    </row>
    <row r="70" ht="15.75" customHeight="1">
      <c r="C70" s="3"/>
      <c r="D70" s="3"/>
      <c r="E70" s="3"/>
      <c r="F70" s="3"/>
    </row>
    <row r="71" ht="15.75" customHeight="1">
      <c r="C71" s="3"/>
      <c r="D71" s="3"/>
      <c r="E71" s="3"/>
      <c r="F71" s="3"/>
    </row>
    <row r="72" ht="15.75" customHeight="1">
      <c r="C72" s="3"/>
      <c r="D72" s="3"/>
      <c r="E72" s="3"/>
      <c r="F72" s="3"/>
    </row>
    <row r="73" ht="15.75" customHeight="1">
      <c r="C73" s="3"/>
      <c r="D73" s="3"/>
      <c r="E73" s="3"/>
      <c r="F73" s="3"/>
    </row>
    <row r="74" ht="15.75" customHeight="1">
      <c r="C74" s="3"/>
      <c r="D74" s="3"/>
      <c r="E74" s="3"/>
      <c r="F74" s="3"/>
    </row>
    <row r="75" ht="15.75" customHeight="1">
      <c r="C75" s="3"/>
      <c r="D75" s="3"/>
      <c r="E75" s="3"/>
      <c r="F75" s="3"/>
    </row>
    <row r="76" ht="15.75" customHeight="1">
      <c r="C76" s="3"/>
      <c r="D76" s="3"/>
      <c r="E76" s="3"/>
      <c r="F76" s="3"/>
    </row>
    <row r="77" ht="15.75" customHeight="1">
      <c r="C77" s="3"/>
      <c r="D77" s="3"/>
      <c r="E77" s="3"/>
      <c r="F77" s="3"/>
    </row>
    <row r="78" ht="15.75" customHeight="1">
      <c r="C78" s="3"/>
      <c r="D78" s="3"/>
      <c r="E78" s="3"/>
      <c r="F78" s="3"/>
    </row>
    <row r="79" ht="15.75" customHeight="1">
      <c r="C79" s="3"/>
      <c r="D79" s="3"/>
      <c r="E79" s="3"/>
      <c r="F79" s="3"/>
    </row>
    <row r="80" ht="15.75" customHeight="1">
      <c r="C80" s="3"/>
      <c r="D80" s="3"/>
      <c r="E80" s="3"/>
      <c r="F80" s="3"/>
    </row>
    <row r="81" ht="15.75" customHeight="1">
      <c r="C81" s="3"/>
      <c r="D81" s="3"/>
      <c r="E81" s="3"/>
      <c r="F81" s="3"/>
    </row>
    <row r="82" ht="15.75" customHeight="1">
      <c r="C82" s="3"/>
      <c r="D82" s="3"/>
      <c r="E82" s="3"/>
      <c r="F82" s="3"/>
    </row>
    <row r="83" ht="15.75" customHeight="1">
      <c r="C83" s="3"/>
      <c r="D83" s="3"/>
      <c r="E83" s="3"/>
      <c r="F83" s="3"/>
    </row>
    <row r="84" ht="15.75" customHeight="1">
      <c r="C84" s="3"/>
      <c r="D84" s="3"/>
      <c r="E84" s="3"/>
      <c r="F84" s="3"/>
    </row>
    <row r="85" ht="15.75" customHeight="1">
      <c r="C85" s="3"/>
      <c r="D85" s="3"/>
      <c r="E85" s="3"/>
      <c r="F85" s="3"/>
    </row>
    <row r="86" ht="15.75" customHeight="1">
      <c r="C86" s="3"/>
      <c r="D86" s="3"/>
      <c r="E86" s="3"/>
      <c r="F86" s="3"/>
    </row>
    <row r="87" ht="15.75" customHeight="1">
      <c r="C87" s="3"/>
      <c r="D87" s="3"/>
      <c r="E87" s="3"/>
      <c r="F87" s="3"/>
    </row>
    <row r="88" ht="15.75" customHeight="1">
      <c r="C88" s="3"/>
      <c r="D88" s="3"/>
      <c r="E88" s="3"/>
      <c r="F88" s="3"/>
    </row>
    <row r="89" ht="15.75" customHeight="1">
      <c r="C89" s="3"/>
      <c r="D89" s="3"/>
      <c r="E89" s="3"/>
      <c r="F89" s="3"/>
    </row>
    <row r="90" ht="15.75" customHeight="1">
      <c r="C90" s="3"/>
      <c r="D90" s="3"/>
      <c r="E90" s="3"/>
      <c r="F90" s="3"/>
    </row>
    <row r="91" ht="15.75" customHeight="1">
      <c r="C91" s="3"/>
      <c r="D91" s="3"/>
      <c r="E91" s="3"/>
      <c r="F91" s="3"/>
    </row>
    <row r="92" ht="15.75" customHeight="1">
      <c r="C92" s="3"/>
      <c r="D92" s="3"/>
      <c r="E92" s="3"/>
      <c r="F92" s="3"/>
    </row>
    <row r="93" ht="15.75" customHeight="1">
      <c r="C93" s="3"/>
      <c r="D93" s="3"/>
      <c r="E93" s="3"/>
      <c r="F93" s="3"/>
    </row>
    <row r="94" ht="15.75" customHeight="1">
      <c r="C94" s="3"/>
      <c r="D94" s="3"/>
      <c r="E94" s="3"/>
      <c r="F94" s="3"/>
    </row>
    <row r="95" ht="15.75" customHeight="1">
      <c r="C95" s="3"/>
      <c r="D95" s="3"/>
      <c r="E95" s="3"/>
      <c r="F95" s="3"/>
    </row>
    <row r="96" ht="15.75" customHeight="1">
      <c r="C96" s="3"/>
      <c r="D96" s="3"/>
      <c r="E96" s="3"/>
      <c r="F96" s="3"/>
    </row>
    <row r="97" ht="15.75" customHeight="1">
      <c r="C97" s="3"/>
      <c r="D97" s="3"/>
      <c r="E97" s="3"/>
      <c r="F97" s="3"/>
    </row>
    <row r="98" ht="15.75" customHeight="1">
      <c r="C98" s="3"/>
      <c r="D98" s="3"/>
      <c r="E98" s="3"/>
      <c r="F98" s="3"/>
    </row>
    <row r="99" ht="15.75" customHeight="1">
      <c r="C99" s="3"/>
      <c r="D99" s="3"/>
      <c r="E99" s="3"/>
      <c r="F99" s="3"/>
    </row>
    <row r="100" ht="15.75" customHeight="1">
      <c r="C100" s="3"/>
      <c r="D100" s="3"/>
      <c r="E100" s="3"/>
      <c r="F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D17:F17"/>
    <mergeCell ref="D18:F18"/>
    <mergeCell ref="D20:F20"/>
    <mergeCell ref="D21:F21"/>
    <mergeCell ref="C23:F23"/>
    <mergeCell ref="A1:B1"/>
    <mergeCell ref="A4:B4"/>
    <mergeCell ref="A6:B6"/>
    <mergeCell ref="D9:F9"/>
    <mergeCell ref="D10:F10"/>
    <mergeCell ref="D11:F11"/>
    <mergeCell ref="D14:F14"/>
  </mergeCells>
  <dataValidations>
    <dataValidation type="decimal" allowBlank="1" showErrorMessage="1" sqref="F25">
      <formula1>99.0</formula1>
      <formula2>110.0</formula2>
    </dataValidation>
    <dataValidation type="list" allowBlank="1" showInputMessage="1" showErrorMessage="1" prompt="Variant of method - Usually this is by age of mother; but models based on duration since first birth, or duration since marriage can also be fitted. The last two models can be fitted ONLY using the Princeton life tables." sqref="D14">
      <formula1>Variant</formula1>
    </dataValidation>
    <dataValidation type="list" allowBlank="1" showErrorMessage="1" sqref="D17">
      <formula1>Family</formula1>
    </dataValidation>
    <dataValidation type="list" allowBlank="1" showErrorMessage="1" sqref="D20">
      <formula1>Sex</formula1>
    </dataValidation>
    <dataValidation type="list" allowBlank="1" showDropDown="1" showErrorMessage="1" sqref="A4">
      <formula1>"http://demographicestimation.iussp.org/content/indirect-estimation-child-mortality"</formula1>
    </dataValidation>
    <dataValidation type="list" allowBlank="1" showErrorMessage="1" sqref="D18">
      <formula1>IF(FamSelect=1,Princeton,UN)</formula1>
    </dataValidation>
  </dataValidations>
  <hyperlinks>
    <hyperlink r:id="rId1" ref="A4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38"/>
    <col customWidth="1" min="2" max="2" width="3.0"/>
    <col customWidth="1" min="3" max="6" width="8.38"/>
    <col customWidth="1" min="7" max="7" width="1.38"/>
    <col customWidth="1" min="8" max="10" width="8.38"/>
    <col customWidth="1" min="11" max="11" width="2.88"/>
    <col customWidth="1" min="12" max="12" width="8.38"/>
    <col customWidth="1" min="13" max="13" width="3.0"/>
    <col customWidth="1" min="14" max="16" width="8.38"/>
    <col customWidth="1" min="17" max="18" width="1.38"/>
    <col customWidth="1" min="19" max="21" width="8.38"/>
    <col customWidth="1" min="22" max="22" width="2.88"/>
    <col customWidth="1" min="23" max="23" width="8.38"/>
    <col customWidth="1" min="24" max="24" width="3.0"/>
    <col customWidth="1" min="25" max="27" width="8.38"/>
    <col customWidth="1" min="28" max="29" width="1.38"/>
    <col customWidth="1" min="30" max="32" width="8.38"/>
    <col customWidth="1" min="33" max="33" width="9.13"/>
    <col customWidth="1" min="34" max="34" width="3.13"/>
    <col customWidth="1" min="35" max="35" width="22.88"/>
    <col customWidth="1" min="36" max="36" width="9.13"/>
    <col customWidth="1" min="37" max="37" width="3.13"/>
    <col customWidth="1" min="38" max="38" width="2.0"/>
    <col customWidth="1" min="39" max="39" width="8.13"/>
    <col customWidth="1" min="40" max="40" width="8.88"/>
    <col customWidth="1" min="41" max="42" width="8.13"/>
    <col customWidth="1" min="43" max="43" width="1.38"/>
    <col customWidth="1" min="44" max="46" width="8.13"/>
    <col customWidth="1" min="47" max="48" width="9.13"/>
  </cols>
  <sheetData>
    <row r="1" ht="15.0" customHeight="1">
      <c r="A1" s="38" t="s">
        <v>26</v>
      </c>
      <c r="K1" s="39"/>
      <c r="L1" s="38" t="s">
        <v>27</v>
      </c>
      <c r="V1" s="39"/>
      <c r="W1" s="38" t="s">
        <v>28</v>
      </c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</row>
    <row r="2" ht="15.0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</row>
    <row r="3" ht="15.0" customHeight="1">
      <c r="A3" s="39"/>
      <c r="B3" s="39"/>
      <c r="C3" s="38" t="s">
        <v>29</v>
      </c>
      <c r="F3" s="39"/>
      <c r="G3" s="39"/>
      <c r="H3" s="38" t="s">
        <v>30</v>
      </c>
      <c r="K3" s="39"/>
      <c r="L3" s="39"/>
      <c r="M3" s="39"/>
      <c r="N3" s="38" t="s">
        <v>29</v>
      </c>
      <c r="Q3" s="39"/>
      <c r="R3" s="39"/>
      <c r="S3" s="38" t="s">
        <v>30</v>
      </c>
      <c r="V3" s="39"/>
      <c r="W3" s="39"/>
      <c r="X3" s="39"/>
      <c r="Y3" s="38" t="s">
        <v>29</v>
      </c>
      <c r="AB3" s="39"/>
      <c r="AC3" s="39"/>
      <c r="AD3" s="38" t="s">
        <v>30</v>
      </c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</row>
    <row r="4" ht="15.0" customHeight="1">
      <c r="A4" s="38" t="s">
        <v>31</v>
      </c>
      <c r="J4" s="40"/>
      <c r="K4" s="39"/>
      <c r="L4" s="41"/>
      <c r="M4" s="42"/>
      <c r="N4" s="43" t="s">
        <v>31</v>
      </c>
      <c r="O4" s="44"/>
      <c r="P4" s="44"/>
      <c r="Q4" s="44"/>
      <c r="R4" s="44"/>
      <c r="S4" s="44"/>
      <c r="T4" s="44"/>
      <c r="U4" s="45"/>
      <c r="V4" s="39"/>
      <c r="W4" s="41"/>
      <c r="X4" s="42"/>
      <c r="Y4" s="43" t="s">
        <v>31</v>
      </c>
      <c r="Z4" s="44"/>
      <c r="AA4" s="44"/>
      <c r="AB4" s="44"/>
      <c r="AC4" s="44"/>
      <c r="AD4" s="44"/>
      <c r="AE4" s="44"/>
      <c r="AF4" s="45"/>
      <c r="AG4" s="46"/>
      <c r="AH4" s="39"/>
      <c r="AI4" s="39"/>
      <c r="AJ4" s="39"/>
      <c r="AK4" s="39"/>
      <c r="AL4" s="39"/>
      <c r="AM4" s="47"/>
      <c r="AN4" s="47"/>
      <c r="AO4" s="47"/>
      <c r="AP4" s="48"/>
      <c r="AQ4" s="49"/>
      <c r="AR4" s="47"/>
      <c r="AS4" s="47"/>
      <c r="AT4" s="47"/>
      <c r="AU4" s="39"/>
      <c r="AV4" s="39"/>
    </row>
    <row r="5" ht="15.0" customHeight="1">
      <c r="A5" s="50" t="s">
        <v>32</v>
      </c>
      <c r="B5" s="51" t="s">
        <v>33</v>
      </c>
      <c r="C5" s="52" t="s">
        <v>34</v>
      </c>
      <c r="D5" s="52" t="s">
        <v>35</v>
      </c>
      <c r="E5" s="52" t="s">
        <v>36</v>
      </c>
      <c r="F5" s="52" t="s">
        <v>37</v>
      </c>
      <c r="G5" s="52"/>
      <c r="H5" s="52" t="s">
        <v>38</v>
      </c>
      <c r="I5" s="52" t="s">
        <v>39</v>
      </c>
      <c r="J5" s="53" t="s">
        <v>40</v>
      </c>
      <c r="K5" s="39"/>
      <c r="L5" s="50" t="s">
        <v>41</v>
      </c>
      <c r="M5" s="51" t="s">
        <v>33</v>
      </c>
      <c r="N5" s="52" t="s">
        <v>34</v>
      </c>
      <c r="O5" s="52" t="s">
        <v>35</v>
      </c>
      <c r="P5" s="52" t="s">
        <v>36</v>
      </c>
      <c r="Q5" s="52"/>
      <c r="R5" s="52"/>
      <c r="S5" s="52" t="s">
        <v>38</v>
      </c>
      <c r="T5" s="52" t="s">
        <v>39</v>
      </c>
      <c r="U5" s="53" t="s">
        <v>40</v>
      </c>
      <c r="V5" s="39"/>
      <c r="W5" s="50" t="s">
        <v>41</v>
      </c>
      <c r="X5" s="51" t="s">
        <v>33</v>
      </c>
      <c r="Y5" s="52" t="s">
        <v>34</v>
      </c>
      <c r="Z5" s="52" t="s">
        <v>35</v>
      </c>
      <c r="AA5" s="52" t="s">
        <v>36</v>
      </c>
      <c r="AB5" s="52"/>
      <c r="AC5" s="52"/>
      <c r="AD5" s="52" t="s">
        <v>38</v>
      </c>
      <c r="AE5" s="52" t="s">
        <v>39</v>
      </c>
      <c r="AF5" s="53" t="s">
        <v>40</v>
      </c>
      <c r="AG5" s="39"/>
      <c r="AH5" s="54" t="str">
        <f>Introduction!D9&amp;" "&amp;TEXT(YEAR(Introduction!D11),"####")</f>
        <v>México 2020</v>
      </c>
      <c r="AI5" s="30"/>
      <c r="AJ5" s="30"/>
      <c r="AK5" s="39"/>
      <c r="AL5" s="55"/>
      <c r="AM5" s="38" t="str">
        <f>"Coeffs_"&amp;TEXT(100*AJ8+10*AJ12+AJ23,0)</f>
        <v>Coeffs_141</v>
      </c>
    </row>
    <row r="6" ht="12.75" customHeight="1">
      <c r="A6" s="56" t="s">
        <v>42</v>
      </c>
      <c r="B6" s="55">
        <v>1.0</v>
      </c>
      <c r="C6" s="55">
        <v>1.1119</v>
      </c>
      <c r="D6" s="55">
        <v>-2.9287</v>
      </c>
      <c r="E6" s="55">
        <v>0.8507</v>
      </c>
      <c r="F6" s="55"/>
      <c r="G6" s="55"/>
      <c r="H6" s="57">
        <v>1.0921</v>
      </c>
      <c r="I6" s="57">
        <v>5.4732</v>
      </c>
      <c r="J6" s="58">
        <v>-1.9672</v>
      </c>
      <c r="K6" s="55"/>
      <c r="L6" s="56" t="s">
        <v>43</v>
      </c>
      <c r="M6" s="55">
        <v>2.0</v>
      </c>
      <c r="N6" s="57">
        <v>1.198</v>
      </c>
      <c r="O6" s="57">
        <v>-0.1266</v>
      </c>
      <c r="P6" s="57">
        <v>0.0038</v>
      </c>
      <c r="Q6" s="57"/>
      <c r="R6" s="55"/>
      <c r="S6" s="57">
        <v>1.71</v>
      </c>
      <c r="T6" s="57">
        <v>1.07</v>
      </c>
      <c r="U6" s="58">
        <v>-0.35</v>
      </c>
      <c r="V6" s="55"/>
      <c r="W6" s="56" t="s">
        <v>43</v>
      </c>
      <c r="X6" s="55">
        <v>2.0</v>
      </c>
      <c r="Y6" s="55">
        <v>1.2615</v>
      </c>
      <c r="Z6" s="55">
        <v>-0.534</v>
      </c>
      <c r="AA6" s="55">
        <v>0.1252</v>
      </c>
      <c r="AB6" s="55"/>
      <c r="AC6" s="55"/>
      <c r="AD6" s="55">
        <v>1.0311</v>
      </c>
      <c r="AE6" s="55">
        <v>1.3149</v>
      </c>
      <c r="AF6" s="59">
        <v>-0.3282</v>
      </c>
      <c r="AG6" s="55"/>
      <c r="AH6" s="60" t="s">
        <v>9</v>
      </c>
      <c r="AI6" s="60"/>
      <c r="AJ6" s="61">
        <f>YEAR(Introduction!D11)+YEARFRAC(DATE(YEAR(Introduction!D11)-1,12,31), Introduction!D11,1)</f>
        <v>2020.166674</v>
      </c>
      <c r="AK6" s="55"/>
      <c r="AL6" s="62"/>
      <c r="AM6" s="63">
        <v>0.0</v>
      </c>
      <c r="AN6" s="64">
        <v>1.0</v>
      </c>
      <c r="AO6" s="65">
        <v>2.0</v>
      </c>
      <c r="AP6" s="65">
        <v>3.0</v>
      </c>
      <c r="AQ6" s="65"/>
      <c r="AR6" s="65">
        <v>5.0</v>
      </c>
      <c r="AS6" s="65">
        <v>6.0</v>
      </c>
      <c r="AT6" s="65">
        <v>7.0</v>
      </c>
      <c r="AU6" s="62"/>
      <c r="AV6" s="62" t="s">
        <v>44</v>
      </c>
    </row>
    <row r="7" ht="12.75" customHeight="1">
      <c r="A7" s="56" t="s">
        <v>45</v>
      </c>
      <c r="B7" s="55">
        <v>2.0</v>
      </c>
      <c r="C7" s="55">
        <v>1.239</v>
      </c>
      <c r="D7" s="55">
        <v>-0.6865</v>
      </c>
      <c r="E7" s="55">
        <v>-0.2745</v>
      </c>
      <c r="F7" s="55"/>
      <c r="G7" s="55"/>
      <c r="H7" s="57">
        <v>1.3207</v>
      </c>
      <c r="I7" s="57">
        <v>5.3751</v>
      </c>
      <c r="J7" s="58">
        <v>0.2133</v>
      </c>
      <c r="K7" s="55"/>
      <c r="L7" s="56" t="s">
        <v>46</v>
      </c>
      <c r="M7" s="55">
        <v>5.0</v>
      </c>
      <c r="N7" s="57">
        <v>1.2248</v>
      </c>
      <c r="O7" s="57">
        <v>-0.1919</v>
      </c>
      <c r="P7" s="57">
        <v>-0.087</v>
      </c>
      <c r="Q7" s="57"/>
      <c r="R7" s="55"/>
      <c r="S7" s="57">
        <v>2.16</v>
      </c>
      <c r="T7" s="57">
        <v>4.36</v>
      </c>
      <c r="U7" s="58">
        <v>0.12</v>
      </c>
      <c r="V7" s="55"/>
      <c r="W7" s="56" t="s">
        <v>46</v>
      </c>
      <c r="X7" s="55">
        <v>3.0</v>
      </c>
      <c r="Y7" s="55">
        <v>1.1957</v>
      </c>
      <c r="Z7" s="55">
        <v>-0.4103</v>
      </c>
      <c r="AA7" s="55">
        <v>-0.093</v>
      </c>
      <c r="AB7" s="55"/>
      <c r="AC7" s="55"/>
      <c r="AD7" s="55">
        <v>1.6964</v>
      </c>
      <c r="AE7" s="55">
        <v>4.5147</v>
      </c>
      <c r="AF7" s="59">
        <v>-0.016</v>
      </c>
      <c r="AG7" s="55"/>
      <c r="AH7" s="60"/>
      <c r="AI7" s="60"/>
      <c r="AJ7" s="60"/>
      <c r="AK7" s="55"/>
      <c r="AL7" s="55">
        <v>0.0</v>
      </c>
      <c r="AM7" s="66">
        <f t="shared" ref="AM7:AP7" si="1">OFFSET(INDIRECT($AM$5),$AL7,AM$6)</f>
        <v>1.1415</v>
      </c>
      <c r="AN7" s="66">
        <f t="shared" si="1"/>
        <v>-2.707</v>
      </c>
      <c r="AO7" s="66">
        <f t="shared" si="1"/>
        <v>0.7663</v>
      </c>
      <c r="AP7" s="66" t="str">
        <f t="shared" si="1"/>
        <v/>
      </c>
      <c r="AQ7" s="66"/>
      <c r="AR7" s="66">
        <f t="shared" ref="AR7:AT7" si="2">OFFSET(INDIRECT($AM$5),$AL7,AR$6)</f>
        <v>1.097</v>
      </c>
      <c r="AS7" s="66">
        <f t="shared" si="2"/>
        <v>5.5628</v>
      </c>
      <c r="AT7" s="66">
        <f t="shared" si="2"/>
        <v>-1.9956</v>
      </c>
      <c r="AU7" s="55"/>
      <c r="AV7" s="67">
        <f t="shared" ref="AV7:AV13" si="5">OFFSET(INDIRECT($AM$5),AL7,-1)</f>
        <v>1</v>
      </c>
    </row>
    <row r="8" ht="12.75" customHeight="1">
      <c r="A8" s="56" t="s">
        <v>47</v>
      </c>
      <c r="B8" s="55">
        <v>3.0</v>
      </c>
      <c r="C8" s="55">
        <v>1.1884</v>
      </c>
      <c r="D8" s="55">
        <v>0.0421</v>
      </c>
      <c r="E8" s="55">
        <v>-0.5156</v>
      </c>
      <c r="F8" s="55"/>
      <c r="G8" s="55"/>
      <c r="H8" s="57">
        <v>1.5996</v>
      </c>
      <c r="I8" s="57">
        <v>2.6268</v>
      </c>
      <c r="J8" s="58">
        <v>4.3701</v>
      </c>
      <c r="K8" s="55"/>
      <c r="L8" s="56" t="s">
        <v>48</v>
      </c>
      <c r="M8" s="55">
        <v>5.0</v>
      </c>
      <c r="N8" s="57">
        <v>1.2076</v>
      </c>
      <c r="O8" s="57">
        <v>-0.0105</v>
      </c>
      <c r="P8" s="57">
        <v>-0.2911</v>
      </c>
      <c r="Q8" s="57"/>
      <c r="R8" s="55"/>
      <c r="S8" s="57">
        <v>0.66</v>
      </c>
      <c r="T8" s="57">
        <v>3.5</v>
      </c>
      <c r="U8" s="58">
        <v>6.65</v>
      </c>
      <c r="V8" s="55"/>
      <c r="W8" s="56" t="s">
        <v>48</v>
      </c>
      <c r="X8" s="55">
        <v>5.0</v>
      </c>
      <c r="Y8" s="55">
        <v>1.3067</v>
      </c>
      <c r="Z8" s="55">
        <v>-0.0103</v>
      </c>
      <c r="AA8" s="55">
        <v>-0.4618</v>
      </c>
      <c r="AB8" s="55"/>
      <c r="AC8" s="55"/>
      <c r="AD8" s="55">
        <v>1.4285</v>
      </c>
      <c r="AE8" s="55">
        <v>3.2684</v>
      </c>
      <c r="AF8" s="59">
        <v>4.4073</v>
      </c>
      <c r="AG8" s="55"/>
      <c r="AH8" s="60" t="s">
        <v>49</v>
      </c>
      <c r="AI8" s="60"/>
      <c r="AJ8" s="60">
        <f>MATCH(Introduction!D17,Family,0)</f>
        <v>1</v>
      </c>
      <c r="AK8" s="55"/>
      <c r="AL8" s="55">
        <v>1.0</v>
      </c>
      <c r="AM8" s="66">
        <f t="shared" ref="AM8:AP8" si="3">OFFSET(INDIRECT($AM$5),$AL8,AM$6)</f>
        <v>1.2563</v>
      </c>
      <c r="AN8" s="66">
        <f t="shared" si="3"/>
        <v>-0.5381</v>
      </c>
      <c r="AO8" s="66">
        <f t="shared" si="3"/>
        <v>-0.2637</v>
      </c>
      <c r="AP8" s="66" t="str">
        <f t="shared" si="3"/>
        <v/>
      </c>
      <c r="AQ8" s="66"/>
      <c r="AR8" s="66">
        <f t="shared" ref="AR8:AT8" si="4">OFFSET(INDIRECT($AM$5),$AL8,AR$6)</f>
        <v>1.3062</v>
      </c>
      <c r="AS8" s="66">
        <f t="shared" si="4"/>
        <v>5.5677</v>
      </c>
      <c r="AT8" s="66">
        <f t="shared" si="4"/>
        <v>0.2962</v>
      </c>
      <c r="AU8" s="55"/>
      <c r="AV8" s="67">
        <f t="shared" si="5"/>
        <v>2</v>
      </c>
    </row>
    <row r="9" ht="12.75" customHeight="1">
      <c r="A9" s="56" t="s">
        <v>50</v>
      </c>
      <c r="B9" s="55">
        <v>5.0</v>
      </c>
      <c r="C9" s="55">
        <v>1.2046</v>
      </c>
      <c r="D9" s="55">
        <v>0.3037</v>
      </c>
      <c r="E9" s="55">
        <v>-0.5656</v>
      </c>
      <c r="F9" s="55"/>
      <c r="G9" s="55"/>
      <c r="H9" s="57">
        <v>2.0779</v>
      </c>
      <c r="I9" s="57">
        <v>-1.7908</v>
      </c>
      <c r="J9" s="58">
        <v>9.4126</v>
      </c>
      <c r="K9" s="55"/>
      <c r="L9" s="56" t="s">
        <v>42</v>
      </c>
      <c r="M9" s="55">
        <v>5.0</v>
      </c>
      <c r="N9" s="57">
        <v>1.203</v>
      </c>
      <c r="O9" s="57">
        <v>0.0896</v>
      </c>
      <c r="P9" s="57">
        <v>-0.4265</v>
      </c>
      <c r="Q9" s="57"/>
      <c r="R9" s="55"/>
      <c r="S9" s="57">
        <v>-1.96</v>
      </c>
      <c r="T9" s="57">
        <v>-0.9</v>
      </c>
      <c r="U9" s="58">
        <v>17.66</v>
      </c>
      <c r="V9" s="55"/>
      <c r="W9" s="56" t="s">
        <v>42</v>
      </c>
      <c r="X9" s="55">
        <v>10.0</v>
      </c>
      <c r="Y9" s="55">
        <v>1.4701</v>
      </c>
      <c r="Z9" s="55">
        <v>0.1763</v>
      </c>
      <c r="AA9" s="55">
        <v>-0.7268</v>
      </c>
      <c r="AB9" s="55"/>
      <c r="AC9" s="55"/>
      <c r="AD9" s="55">
        <v>-0.0753</v>
      </c>
      <c r="AE9" s="55">
        <v>-1.08</v>
      </c>
      <c r="AF9" s="59">
        <v>12.9281</v>
      </c>
      <c r="AG9" s="55"/>
      <c r="AH9" s="60"/>
      <c r="AI9" s="68" t="s">
        <v>15</v>
      </c>
      <c r="AJ9" s="60"/>
      <c r="AK9" s="55"/>
      <c r="AL9" s="55">
        <v>2.0</v>
      </c>
      <c r="AM9" s="66">
        <f t="shared" ref="AM9:AP9" si="6">OFFSET(INDIRECT($AM$5),$AL9,AM$6)</f>
        <v>1.1851</v>
      </c>
      <c r="AN9" s="66">
        <f t="shared" si="6"/>
        <v>0.0633</v>
      </c>
      <c r="AO9" s="66">
        <f t="shared" si="6"/>
        <v>-0.4177</v>
      </c>
      <c r="AP9" s="66" t="str">
        <f t="shared" si="6"/>
        <v/>
      </c>
      <c r="AQ9" s="66"/>
      <c r="AR9" s="66">
        <f t="shared" ref="AR9:AT9" si="7">OFFSET(INDIRECT($AM$5),$AL9,AR$6)</f>
        <v>1.5305</v>
      </c>
      <c r="AS9" s="66">
        <f t="shared" si="7"/>
        <v>2.5528</v>
      </c>
      <c r="AT9" s="66">
        <f t="shared" si="7"/>
        <v>4.8962</v>
      </c>
      <c r="AU9" s="55"/>
      <c r="AV9" s="67">
        <f t="shared" si="5"/>
        <v>3</v>
      </c>
    </row>
    <row r="10" ht="12.75" customHeight="1">
      <c r="A10" s="56" t="s">
        <v>51</v>
      </c>
      <c r="B10" s="55">
        <v>10.0</v>
      </c>
      <c r="C10" s="55">
        <v>1.2586</v>
      </c>
      <c r="D10" s="55">
        <v>0.4236</v>
      </c>
      <c r="E10" s="55">
        <v>-0.5898</v>
      </c>
      <c r="F10" s="55"/>
      <c r="G10" s="55"/>
      <c r="H10" s="57">
        <v>2.7705</v>
      </c>
      <c r="I10" s="57">
        <v>-7.3403</v>
      </c>
      <c r="J10" s="58">
        <v>14.9352</v>
      </c>
      <c r="K10" s="55"/>
      <c r="L10" s="56" t="s">
        <v>45</v>
      </c>
      <c r="M10" s="55">
        <v>10.0</v>
      </c>
      <c r="N10" s="57">
        <v>1.3292</v>
      </c>
      <c r="O10" s="57">
        <v>0.1598</v>
      </c>
      <c r="P10" s="57">
        <v>-0.5778</v>
      </c>
      <c r="Q10" s="57"/>
      <c r="R10" s="55"/>
      <c r="S10" s="57">
        <v>-3.85</v>
      </c>
      <c r="T10" s="57">
        <v>-6.42</v>
      </c>
      <c r="U10" s="58">
        <v>28.94</v>
      </c>
      <c r="V10" s="55"/>
      <c r="W10" s="56" t="s">
        <v>45</v>
      </c>
      <c r="X10" s="55">
        <v>15.0</v>
      </c>
      <c r="Y10" s="55">
        <v>1.5039</v>
      </c>
      <c r="Z10" s="55">
        <v>0.0039</v>
      </c>
      <c r="AA10" s="55">
        <v>-0.7071</v>
      </c>
      <c r="AB10" s="55"/>
      <c r="AC10" s="55"/>
      <c r="AD10" s="55">
        <v>-1.9749</v>
      </c>
      <c r="AE10" s="55">
        <v>-3.4773</v>
      </c>
      <c r="AF10" s="59">
        <v>21.3318</v>
      </c>
      <c r="AG10" s="55"/>
      <c r="AH10" s="60"/>
      <c r="AI10" s="69" t="s">
        <v>52</v>
      </c>
      <c r="AJ10" s="60"/>
      <c r="AK10" s="55"/>
      <c r="AL10" s="55">
        <v>3.0</v>
      </c>
      <c r="AM10" s="66">
        <f t="shared" ref="AM10:AP10" si="8">OFFSET(INDIRECT($AM$5),$AL10,AM$6)</f>
        <v>1.172</v>
      </c>
      <c r="AN10" s="66">
        <f t="shared" si="8"/>
        <v>0.2341</v>
      </c>
      <c r="AO10" s="66">
        <f t="shared" si="8"/>
        <v>-0.4272</v>
      </c>
      <c r="AP10" s="66" t="str">
        <f t="shared" si="8"/>
        <v/>
      </c>
      <c r="AQ10" s="66"/>
      <c r="AR10" s="66">
        <f t="shared" ref="AR10:AT10" si="9">OFFSET(INDIRECT($AM$5),$AL10,AR$6)</f>
        <v>1.9991</v>
      </c>
      <c r="AS10" s="66">
        <f t="shared" si="9"/>
        <v>-2.4261</v>
      </c>
      <c r="AT10" s="66">
        <f t="shared" si="9"/>
        <v>10.4282</v>
      </c>
      <c r="AU10" s="55"/>
      <c r="AV10" s="67">
        <f t="shared" si="5"/>
        <v>5</v>
      </c>
    </row>
    <row r="11" ht="12.75" customHeight="1">
      <c r="A11" s="56" t="s">
        <v>53</v>
      </c>
      <c r="B11" s="55">
        <v>15.0</v>
      </c>
      <c r="C11" s="55">
        <v>1.224</v>
      </c>
      <c r="D11" s="55">
        <v>0.4222</v>
      </c>
      <c r="E11" s="55">
        <v>-0.5456</v>
      </c>
      <c r="F11" s="55"/>
      <c r="G11" s="55"/>
      <c r="H11" s="57">
        <v>4.152</v>
      </c>
      <c r="I11" s="57">
        <v>-12.2448</v>
      </c>
      <c r="J11" s="58">
        <v>19.2349</v>
      </c>
      <c r="K11" s="55"/>
      <c r="L11" s="56"/>
      <c r="M11" s="55"/>
      <c r="N11" s="55"/>
      <c r="O11" s="55"/>
      <c r="P11" s="55"/>
      <c r="Q11" s="55"/>
      <c r="R11" s="55"/>
      <c r="S11" s="55"/>
      <c r="T11" s="55"/>
      <c r="U11" s="59"/>
      <c r="V11" s="55"/>
      <c r="W11" s="56" t="s">
        <v>47</v>
      </c>
      <c r="X11" s="55">
        <v>20.0</v>
      </c>
      <c r="Y11" s="55">
        <v>1.4798</v>
      </c>
      <c r="Z11" s="55">
        <v>-0.2487</v>
      </c>
      <c r="AA11" s="55">
        <v>-0.5582</v>
      </c>
      <c r="AB11" s="55"/>
      <c r="AC11" s="55"/>
      <c r="AD11" s="55">
        <v>-2.1888</v>
      </c>
      <c r="AE11" s="55">
        <v>0.6124</v>
      </c>
      <c r="AF11" s="59">
        <v>23.9376</v>
      </c>
      <c r="AG11" s="55"/>
      <c r="AH11" s="60"/>
      <c r="AI11" s="60"/>
      <c r="AJ11" s="60"/>
      <c r="AK11" s="55"/>
      <c r="AL11" s="55">
        <v>4.0</v>
      </c>
      <c r="AM11" s="66">
        <f t="shared" ref="AM11:AP11" si="10">OFFSET(INDIRECT($AM$5),$AL11,AM$6)</f>
        <v>1.1865</v>
      </c>
      <c r="AN11" s="66">
        <f t="shared" si="10"/>
        <v>0.308</v>
      </c>
      <c r="AO11" s="66">
        <f t="shared" si="10"/>
        <v>-0.4452</v>
      </c>
      <c r="AP11" s="66" t="str">
        <f t="shared" si="10"/>
        <v/>
      </c>
      <c r="AQ11" s="66"/>
      <c r="AR11" s="66">
        <f t="shared" ref="AR11:AT11" si="11">OFFSET(INDIRECT($AM$5),$AL11,AR$6)</f>
        <v>2.7632</v>
      </c>
      <c r="AS11" s="66">
        <f t="shared" si="11"/>
        <v>-8.4065</v>
      </c>
      <c r="AT11" s="66">
        <f t="shared" si="11"/>
        <v>16.1787</v>
      </c>
      <c r="AU11" s="55"/>
      <c r="AV11" s="67">
        <f t="shared" si="5"/>
        <v>10</v>
      </c>
    </row>
    <row r="12" ht="12.75" customHeight="1">
      <c r="A12" s="56" t="s">
        <v>54</v>
      </c>
      <c r="B12" s="55">
        <v>20.0</v>
      </c>
      <c r="C12" s="55">
        <v>1.1772</v>
      </c>
      <c r="D12" s="55">
        <v>0.3486</v>
      </c>
      <c r="E12" s="55">
        <v>-0.4624</v>
      </c>
      <c r="F12" s="55"/>
      <c r="G12" s="55"/>
      <c r="H12" s="57">
        <v>6.965</v>
      </c>
      <c r="I12" s="57">
        <v>-13.916</v>
      </c>
      <c r="J12" s="58">
        <v>19.9542</v>
      </c>
      <c r="K12" s="55"/>
      <c r="L12" s="56"/>
      <c r="M12" s="55"/>
      <c r="N12" s="55"/>
      <c r="O12" s="55"/>
      <c r="P12" s="55"/>
      <c r="Q12" s="55"/>
      <c r="R12" s="55"/>
      <c r="S12" s="55"/>
      <c r="T12" s="55"/>
      <c r="U12" s="59"/>
      <c r="V12" s="55"/>
      <c r="W12" s="56"/>
      <c r="X12" s="55"/>
      <c r="Y12" s="55"/>
      <c r="Z12" s="55"/>
      <c r="AA12" s="55"/>
      <c r="AB12" s="55"/>
      <c r="AC12" s="55"/>
      <c r="AD12" s="55"/>
      <c r="AE12" s="70"/>
      <c r="AF12" s="71"/>
      <c r="AG12" s="72"/>
      <c r="AH12" s="60" t="s">
        <v>55</v>
      </c>
      <c r="AI12" s="60"/>
      <c r="AJ12" s="60">
        <f>MATCH(Introduction!D18,IF(AJ8=1,Princeton,UN),0)</f>
        <v>4</v>
      </c>
      <c r="AK12" s="55"/>
      <c r="AL12" s="55">
        <v>5.0</v>
      </c>
      <c r="AM12" s="66">
        <f t="shared" ref="AM12:AP12" si="12">OFFSET(INDIRECT($AM$5),$AL12,AM$6)</f>
        <v>1.1746</v>
      </c>
      <c r="AN12" s="66">
        <f t="shared" si="12"/>
        <v>0.3314</v>
      </c>
      <c r="AO12" s="66">
        <f t="shared" si="12"/>
        <v>-0.4537</v>
      </c>
      <c r="AP12" s="66" t="str">
        <f t="shared" si="12"/>
        <v/>
      </c>
      <c r="AQ12" s="66"/>
      <c r="AR12" s="66">
        <f t="shared" ref="AR12:AT12" si="13">OFFSET(INDIRECT($AM$5),$AL12,AR$6)</f>
        <v>4.3468</v>
      </c>
      <c r="AS12" s="66">
        <f t="shared" si="13"/>
        <v>-13.2436</v>
      </c>
      <c r="AT12" s="66">
        <f t="shared" si="13"/>
        <v>20.199</v>
      </c>
      <c r="AU12" s="55"/>
      <c r="AV12" s="67">
        <f t="shared" si="5"/>
        <v>15</v>
      </c>
    </row>
    <row r="13" ht="12.75" customHeight="1">
      <c r="A13" s="73"/>
      <c r="B13" s="74"/>
      <c r="C13" s="75"/>
      <c r="D13" s="75"/>
      <c r="E13" s="75"/>
      <c r="F13" s="75"/>
      <c r="G13" s="75"/>
      <c r="H13" s="75"/>
      <c r="I13" s="75"/>
      <c r="J13" s="76"/>
      <c r="K13" s="55"/>
      <c r="L13" s="56"/>
      <c r="M13" s="55"/>
      <c r="N13" s="55"/>
      <c r="O13" s="55"/>
      <c r="P13" s="55"/>
      <c r="Q13" s="55"/>
      <c r="R13" s="55"/>
      <c r="S13" s="55"/>
      <c r="T13" s="55"/>
      <c r="U13" s="59"/>
      <c r="V13" s="55"/>
      <c r="W13" s="56"/>
      <c r="X13" s="55"/>
      <c r="Y13" s="55"/>
      <c r="Z13" s="55"/>
      <c r="AA13" s="55"/>
      <c r="AB13" s="55"/>
      <c r="AC13" s="55"/>
      <c r="AD13" s="55"/>
      <c r="AE13" s="77"/>
      <c r="AF13" s="71"/>
      <c r="AG13" s="72"/>
      <c r="AH13" s="60"/>
      <c r="AI13" s="68" t="s">
        <v>56</v>
      </c>
      <c r="AJ13" s="60"/>
      <c r="AK13" s="55"/>
      <c r="AL13" s="55">
        <v>6.0</v>
      </c>
      <c r="AM13" s="66">
        <f t="shared" ref="AM13:AP13" si="14">OFFSET(INDIRECT($AM$5),$AL13,AM$6)</f>
        <v>1.1639</v>
      </c>
      <c r="AN13" s="66">
        <f t="shared" si="14"/>
        <v>0.319</v>
      </c>
      <c r="AO13" s="66">
        <f t="shared" si="14"/>
        <v>-0.4435</v>
      </c>
      <c r="AP13" s="66" t="str">
        <f t="shared" si="14"/>
        <v/>
      </c>
      <c r="AQ13" s="66"/>
      <c r="AR13" s="66">
        <f t="shared" ref="AR13:AT13" si="15">OFFSET(INDIRECT($AM$5),$AL13,AR$6)</f>
        <v>7.5242</v>
      </c>
      <c r="AS13" s="66">
        <f t="shared" si="15"/>
        <v>-14.2013</v>
      </c>
      <c r="AT13" s="66">
        <f t="shared" si="15"/>
        <v>20.0162</v>
      </c>
      <c r="AU13" s="55"/>
      <c r="AV13" s="67">
        <f t="shared" si="5"/>
        <v>20</v>
      </c>
    </row>
    <row r="14" ht="12.75" customHeight="1">
      <c r="A14" s="78"/>
      <c r="B14" s="75"/>
      <c r="C14" s="75"/>
      <c r="D14" s="75"/>
      <c r="E14" s="75"/>
      <c r="F14" s="75"/>
      <c r="G14" s="75"/>
      <c r="H14" s="75"/>
      <c r="I14" s="75"/>
      <c r="J14" s="76"/>
      <c r="K14" s="55"/>
      <c r="L14" s="56"/>
      <c r="M14" s="55"/>
      <c r="N14" s="55"/>
      <c r="O14" s="55"/>
      <c r="P14" s="55"/>
      <c r="Q14" s="55"/>
      <c r="R14" s="55"/>
      <c r="S14" s="55"/>
      <c r="T14" s="55"/>
      <c r="U14" s="59"/>
      <c r="V14" s="55"/>
      <c r="W14" s="56"/>
      <c r="X14" s="55"/>
      <c r="Y14" s="55"/>
      <c r="Z14" s="55"/>
      <c r="AA14" s="55"/>
      <c r="AB14" s="55"/>
      <c r="AC14" s="55"/>
      <c r="AD14" s="55"/>
      <c r="AE14" s="77"/>
      <c r="AF14" s="71"/>
      <c r="AG14" s="72"/>
      <c r="AH14" s="60"/>
      <c r="AI14" s="79" t="s">
        <v>57</v>
      </c>
      <c r="AJ14" s="60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</row>
    <row r="15" ht="15.0" customHeight="1">
      <c r="A15" s="38" t="s">
        <v>58</v>
      </c>
      <c r="J15" s="40"/>
      <c r="K15" s="39"/>
      <c r="L15" s="80"/>
      <c r="M15" s="39"/>
      <c r="N15" s="38" t="s">
        <v>58</v>
      </c>
      <c r="U15" s="40"/>
      <c r="V15" s="39"/>
      <c r="W15" s="80"/>
      <c r="X15" s="39"/>
      <c r="Y15" s="38" t="s">
        <v>58</v>
      </c>
      <c r="AF15" s="40"/>
      <c r="AG15" s="72"/>
      <c r="AH15" s="60"/>
      <c r="AI15" s="79" t="s">
        <v>59</v>
      </c>
      <c r="AJ15" s="60"/>
      <c r="AK15" s="55"/>
      <c r="AL15" s="55"/>
      <c r="AM15" s="38" t="s">
        <v>60</v>
      </c>
      <c r="AO15" s="39"/>
      <c r="AP15" s="66"/>
      <c r="AQ15" s="66"/>
      <c r="AR15" s="66"/>
      <c r="AS15" s="66"/>
      <c r="AT15" s="66"/>
      <c r="AU15" s="55"/>
      <c r="AV15" s="55"/>
    </row>
    <row r="16" ht="12.75" customHeight="1">
      <c r="A16" s="50" t="s">
        <v>32</v>
      </c>
      <c r="B16" s="51" t="s">
        <v>33</v>
      </c>
      <c r="C16" s="52" t="s">
        <v>34</v>
      </c>
      <c r="D16" s="52" t="s">
        <v>35</v>
      </c>
      <c r="E16" s="52" t="s">
        <v>36</v>
      </c>
      <c r="F16" s="52" t="s">
        <v>37</v>
      </c>
      <c r="G16" s="52"/>
      <c r="H16" s="52" t="s">
        <v>38</v>
      </c>
      <c r="I16" s="52" t="s">
        <v>39</v>
      </c>
      <c r="J16" s="53" t="s">
        <v>40</v>
      </c>
      <c r="K16" s="55"/>
      <c r="L16" s="50" t="s">
        <v>41</v>
      </c>
      <c r="M16" s="51" t="s">
        <v>33</v>
      </c>
      <c r="N16" s="52" t="s">
        <v>34</v>
      </c>
      <c r="O16" s="52" t="s">
        <v>35</v>
      </c>
      <c r="P16" s="52" t="s">
        <v>36</v>
      </c>
      <c r="Q16" s="52"/>
      <c r="R16" s="52"/>
      <c r="S16" s="52" t="s">
        <v>38</v>
      </c>
      <c r="T16" s="52" t="s">
        <v>39</v>
      </c>
      <c r="U16" s="53" t="s">
        <v>40</v>
      </c>
      <c r="V16" s="55"/>
      <c r="W16" s="50" t="s">
        <v>41</v>
      </c>
      <c r="X16" s="51" t="s">
        <v>33</v>
      </c>
      <c r="Y16" s="52" t="s">
        <v>34</v>
      </c>
      <c r="Z16" s="52" t="s">
        <v>35</v>
      </c>
      <c r="AA16" s="52" t="s">
        <v>36</v>
      </c>
      <c r="AB16" s="52"/>
      <c r="AC16" s="52"/>
      <c r="AD16" s="52" t="s">
        <v>38</v>
      </c>
      <c r="AE16" s="52" t="s">
        <v>39</v>
      </c>
      <c r="AF16" s="53" t="s">
        <v>40</v>
      </c>
      <c r="AG16" s="72"/>
      <c r="AH16" s="60"/>
      <c r="AI16" s="69" t="s">
        <v>17</v>
      </c>
      <c r="AJ16" s="60"/>
      <c r="AK16" s="55"/>
      <c r="AL16" s="55"/>
      <c r="AM16" s="81" t="s">
        <v>33</v>
      </c>
      <c r="AN16" s="82" t="s">
        <v>61</v>
      </c>
      <c r="AO16" s="39"/>
      <c r="AP16" s="66"/>
      <c r="AQ16" s="66"/>
      <c r="AR16" s="66"/>
      <c r="AS16" s="66"/>
      <c r="AT16" s="66"/>
      <c r="AU16" s="55"/>
      <c r="AV16" s="55"/>
    </row>
    <row r="17" ht="12.75" customHeight="1">
      <c r="A17" s="56" t="s">
        <v>42</v>
      </c>
      <c r="B17" s="55">
        <v>1.0</v>
      </c>
      <c r="C17" s="55">
        <v>1.0819</v>
      </c>
      <c r="D17" s="55">
        <v>-3.0005</v>
      </c>
      <c r="E17" s="55">
        <v>0.8689</v>
      </c>
      <c r="F17" s="75"/>
      <c r="G17" s="75"/>
      <c r="H17" s="57">
        <v>1.09</v>
      </c>
      <c r="I17" s="57">
        <v>5.4443</v>
      </c>
      <c r="J17" s="58">
        <v>-1.9721</v>
      </c>
      <c r="K17" s="55"/>
      <c r="L17" s="56" t="s">
        <v>43</v>
      </c>
      <c r="M17" s="55">
        <v>2.0</v>
      </c>
      <c r="N17" s="55">
        <v>1.1705</v>
      </c>
      <c r="O17" s="55">
        <v>-0.1461</v>
      </c>
      <c r="P17" s="55">
        <v>0.0051</v>
      </c>
      <c r="Q17" s="55"/>
      <c r="R17" s="55"/>
      <c r="S17" s="57">
        <v>1.68</v>
      </c>
      <c r="T17" s="57">
        <v>0.96</v>
      </c>
      <c r="U17" s="58">
        <v>-0.32</v>
      </c>
      <c r="V17" s="55"/>
      <c r="W17" s="56" t="s">
        <v>43</v>
      </c>
      <c r="X17" s="55">
        <v>2.0</v>
      </c>
      <c r="Y17" s="55">
        <v>1.3103</v>
      </c>
      <c r="Z17" s="55">
        <v>-0.5856</v>
      </c>
      <c r="AA17" s="55">
        <v>0.1367</v>
      </c>
      <c r="AB17" s="55"/>
      <c r="AC17" s="55"/>
      <c r="AD17" s="55">
        <v>1.0202</v>
      </c>
      <c r="AE17" s="77">
        <v>1.3064</v>
      </c>
      <c r="AF17" s="71">
        <v>-0.3297</v>
      </c>
      <c r="AG17" s="72"/>
      <c r="AH17" s="60"/>
      <c r="AI17" s="68" t="s">
        <v>62</v>
      </c>
      <c r="AJ17" s="60"/>
      <c r="AK17" s="55"/>
      <c r="AL17" s="55"/>
      <c r="AM17" s="83">
        <v>0.0</v>
      </c>
      <c r="AN17" s="84"/>
      <c r="AO17" s="85"/>
      <c r="AP17" s="75"/>
      <c r="AQ17" s="75"/>
      <c r="AR17" s="75"/>
      <c r="AS17" s="75"/>
      <c r="AT17" s="75"/>
      <c r="AU17" s="55"/>
      <c r="AV17" s="55"/>
    </row>
    <row r="18" ht="12.75" customHeight="1">
      <c r="A18" s="56" t="s">
        <v>45</v>
      </c>
      <c r="B18" s="55">
        <v>2.0</v>
      </c>
      <c r="C18" s="55">
        <v>1.2846</v>
      </c>
      <c r="D18" s="55">
        <v>-0.6181</v>
      </c>
      <c r="E18" s="55">
        <v>-0.3024</v>
      </c>
      <c r="F18" s="75"/>
      <c r="G18" s="75"/>
      <c r="H18" s="57">
        <v>1.3079</v>
      </c>
      <c r="I18" s="57">
        <v>5.5568</v>
      </c>
      <c r="J18" s="58">
        <v>0.2021</v>
      </c>
      <c r="K18" s="55"/>
      <c r="L18" s="56" t="s">
        <v>46</v>
      </c>
      <c r="M18" s="55">
        <v>5.0</v>
      </c>
      <c r="N18" s="55">
        <v>1.3166</v>
      </c>
      <c r="O18" s="55">
        <v>-0.3157</v>
      </c>
      <c r="P18" s="55">
        <v>-0.0971</v>
      </c>
      <c r="Q18" s="55"/>
      <c r="R18" s="55"/>
      <c r="S18" s="57">
        <v>2.29</v>
      </c>
      <c r="T18" s="57">
        <v>3.84</v>
      </c>
      <c r="U18" s="58">
        <v>-0.01</v>
      </c>
      <c r="V18" s="55"/>
      <c r="W18" s="56" t="s">
        <v>46</v>
      </c>
      <c r="X18" s="55">
        <v>3.0</v>
      </c>
      <c r="Y18" s="55">
        <v>1.2309</v>
      </c>
      <c r="Z18" s="55">
        <v>-0.3463</v>
      </c>
      <c r="AA18" s="55">
        <v>-0.1073</v>
      </c>
      <c r="AB18" s="55"/>
      <c r="AC18" s="55"/>
      <c r="AD18" s="55">
        <v>1.6601</v>
      </c>
      <c r="AE18" s="70">
        <v>4.5105</v>
      </c>
      <c r="AF18" s="71">
        <v>-0.0335</v>
      </c>
      <c r="AG18" s="72"/>
      <c r="AH18" s="60"/>
      <c r="AI18" s="79" t="s">
        <v>63</v>
      </c>
      <c r="AJ18" s="60"/>
      <c r="AK18" s="55"/>
      <c r="AL18" s="55"/>
      <c r="AM18" s="86">
        <v>1.0</v>
      </c>
      <c r="AN18" s="87">
        <f>HLOOKUP(Coefficients!$AJ$8*100+Coefficients!$AJ$12*10+Coefficients!$AJ$28,'Model LTs'!$A$2:$AB$13,5,FALSE)</f>
        <v>-1.292008463</v>
      </c>
      <c r="AO18" s="88"/>
      <c r="AP18" s="55"/>
      <c r="AQ18" s="55"/>
      <c r="AR18" s="55"/>
      <c r="AS18" s="55"/>
      <c r="AT18" s="55"/>
      <c r="AU18" s="55"/>
      <c r="AV18" s="55"/>
    </row>
    <row r="19" ht="12.75" customHeight="1">
      <c r="A19" s="56" t="s">
        <v>47</v>
      </c>
      <c r="B19" s="55">
        <v>3.0</v>
      </c>
      <c r="C19" s="55">
        <v>1.2223</v>
      </c>
      <c r="D19" s="55">
        <v>0.0851</v>
      </c>
      <c r="E19" s="55">
        <v>-0.4704</v>
      </c>
      <c r="F19" s="75"/>
      <c r="G19" s="75"/>
      <c r="H19" s="57">
        <v>1.5173</v>
      </c>
      <c r="I19" s="57">
        <v>2.6755</v>
      </c>
      <c r="J19" s="58">
        <v>4.7471</v>
      </c>
      <c r="K19" s="55"/>
      <c r="L19" s="56" t="s">
        <v>48</v>
      </c>
      <c r="M19" s="55">
        <v>5.0</v>
      </c>
      <c r="N19" s="55">
        <v>1.2952</v>
      </c>
      <c r="O19" s="55">
        <v>-0.0423</v>
      </c>
      <c r="P19" s="55">
        <v>-0.4295</v>
      </c>
      <c r="Q19" s="55"/>
      <c r="R19" s="55"/>
      <c r="S19" s="57">
        <v>1.19</v>
      </c>
      <c r="T19" s="57">
        <v>3.45</v>
      </c>
      <c r="U19" s="58">
        <v>5.41</v>
      </c>
      <c r="V19" s="55"/>
      <c r="W19" s="56" t="s">
        <v>48</v>
      </c>
      <c r="X19" s="55">
        <v>5.0</v>
      </c>
      <c r="Y19" s="55">
        <v>1.2774</v>
      </c>
      <c r="Z19" s="55">
        <v>0.0336</v>
      </c>
      <c r="AA19" s="55">
        <v>-0.3987</v>
      </c>
      <c r="AB19" s="55"/>
      <c r="AC19" s="55"/>
      <c r="AD19" s="55">
        <v>1.2146</v>
      </c>
      <c r="AE19" s="55">
        <v>3.4684</v>
      </c>
      <c r="AF19" s="59">
        <v>4.9524</v>
      </c>
      <c r="AG19" s="55"/>
      <c r="AH19" s="60"/>
      <c r="AI19" s="79" t="s">
        <v>64</v>
      </c>
      <c r="AJ19" s="60"/>
      <c r="AK19" s="55"/>
      <c r="AL19" s="55"/>
      <c r="AM19" s="86">
        <v>2.0</v>
      </c>
      <c r="AN19" s="87">
        <f>HLOOKUP(Coefficients!$AJ$8*100+Coefficients!$AJ$12*10+Coefficients!$AJ$28,'Model LTs'!$A$2:$AB$13,6,FALSE)</f>
        <v>-1.199382019</v>
      </c>
      <c r="AO19" s="88"/>
      <c r="AP19" s="55"/>
      <c r="AQ19" s="55"/>
      <c r="AR19" s="55"/>
      <c r="AS19" s="55"/>
      <c r="AT19" s="55"/>
      <c r="AU19" s="55"/>
      <c r="AV19" s="55"/>
    </row>
    <row r="20" ht="12.75" customHeight="1">
      <c r="A20" s="56" t="s">
        <v>50</v>
      </c>
      <c r="B20" s="55">
        <v>5.0</v>
      </c>
      <c r="C20" s="55">
        <v>1.1905</v>
      </c>
      <c r="D20" s="55">
        <v>0.2631</v>
      </c>
      <c r="E20" s="55">
        <v>-0.4487</v>
      </c>
      <c r="F20" s="75"/>
      <c r="G20" s="75"/>
      <c r="H20" s="57">
        <v>1.9399</v>
      </c>
      <c r="I20" s="57">
        <v>-2.2739</v>
      </c>
      <c r="J20" s="58">
        <v>10.3876</v>
      </c>
      <c r="K20" s="55"/>
      <c r="L20" s="56" t="s">
        <v>42</v>
      </c>
      <c r="M20" s="55">
        <v>5.0</v>
      </c>
      <c r="N20" s="57">
        <v>1.2836</v>
      </c>
      <c r="O20" s="55">
        <v>0.1308</v>
      </c>
      <c r="P20" s="55">
        <v>-0.6496</v>
      </c>
      <c r="Q20" s="55"/>
      <c r="R20" s="55"/>
      <c r="S20" s="57">
        <v>-1.01</v>
      </c>
      <c r="T20" s="57">
        <v>-0.18</v>
      </c>
      <c r="U20" s="58">
        <v>15.03</v>
      </c>
      <c r="V20" s="55"/>
      <c r="W20" s="56" t="s">
        <v>42</v>
      </c>
      <c r="X20" s="55">
        <v>10.0</v>
      </c>
      <c r="Y20" s="55">
        <v>1.3493</v>
      </c>
      <c r="Z20" s="55">
        <v>0.1366</v>
      </c>
      <c r="AA20" s="55">
        <v>-0.5403</v>
      </c>
      <c r="AB20" s="55"/>
      <c r="AC20" s="55"/>
      <c r="AD20" s="55">
        <v>-0.6454</v>
      </c>
      <c r="AE20" s="55">
        <v>-1.6045</v>
      </c>
      <c r="AF20" s="71">
        <v>14.6773</v>
      </c>
      <c r="AG20" s="55"/>
      <c r="AH20" s="60"/>
      <c r="AI20" s="79" t="s">
        <v>65</v>
      </c>
      <c r="AJ20" s="60"/>
      <c r="AK20" s="55"/>
      <c r="AL20" s="55"/>
      <c r="AM20" s="86">
        <v>3.0</v>
      </c>
      <c r="AN20" s="87">
        <f>HLOOKUP(Coefficients!$AJ$8*100+Coefficients!$AJ$12*10+Coefficients!$AJ$28,'Model LTs'!$A$2:$AB$13,7,FALSE)</f>
        <v>-1.159241314</v>
      </c>
      <c r="AO20" s="88"/>
      <c r="AP20" s="55"/>
      <c r="AQ20" s="55"/>
      <c r="AR20" s="55"/>
      <c r="AS20" s="55"/>
      <c r="AT20" s="55"/>
      <c r="AU20" s="55"/>
      <c r="AV20" s="55"/>
    </row>
    <row r="21" ht="12.75" customHeight="1">
      <c r="A21" s="56" t="s">
        <v>51</v>
      </c>
      <c r="B21" s="55">
        <v>10.0</v>
      </c>
      <c r="C21" s="55">
        <v>1.1911</v>
      </c>
      <c r="D21" s="55">
        <v>0.3152</v>
      </c>
      <c r="E21" s="55">
        <v>-0.4291</v>
      </c>
      <c r="F21" s="75"/>
      <c r="G21" s="75"/>
      <c r="H21" s="57">
        <v>2.6157</v>
      </c>
      <c r="I21" s="57">
        <v>-8.4819</v>
      </c>
      <c r="J21" s="58">
        <v>16.5153</v>
      </c>
      <c r="K21" s="55"/>
      <c r="L21" s="56" t="s">
        <v>45</v>
      </c>
      <c r="M21" s="55">
        <v>10.0</v>
      </c>
      <c r="N21" s="55">
        <v>1.5269</v>
      </c>
      <c r="O21" s="55">
        <v>0.2659</v>
      </c>
      <c r="P21" s="55">
        <v>-0.9174</v>
      </c>
      <c r="Q21" s="55"/>
      <c r="R21" s="55"/>
      <c r="S21" s="57">
        <v>-2.68</v>
      </c>
      <c r="T21" s="57">
        <v>-5.06</v>
      </c>
      <c r="U21" s="58">
        <v>25.21</v>
      </c>
      <c r="V21" s="55"/>
      <c r="W21" s="56" t="s">
        <v>45</v>
      </c>
      <c r="X21" s="55">
        <v>15.0</v>
      </c>
      <c r="Y21" s="55">
        <v>1.3592</v>
      </c>
      <c r="Z21" s="55">
        <v>-0.0315</v>
      </c>
      <c r="AA21" s="55">
        <v>-0.4944</v>
      </c>
      <c r="AB21" s="55"/>
      <c r="AC21" s="55"/>
      <c r="AD21" s="55">
        <v>-2.9104</v>
      </c>
      <c r="AE21" s="55">
        <v>-4.1352</v>
      </c>
      <c r="AF21" s="71">
        <v>24.0072</v>
      </c>
      <c r="AG21" s="55"/>
      <c r="AH21" s="60"/>
      <c r="AI21" s="69" t="s">
        <v>66</v>
      </c>
      <c r="AJ21" s="60"/>
      <c r="AK21" s="55"/>
      <c r="AL21" s="55"/>
      <c r="AM21" s="86">
        <v>4.0</v>
      </c>
      <c r="AN21" s="87">
        <f>HLOOKUP(Coefficients!$AJ$8*100+Coefficients!$AJ$12*10+Coefficients!$AJ$28,'Model LTs'!$A$2:$AB$13,8,FALSE)</f>
        <v>-1.13384849</v>
      </c>
      <c r="AO21" s="88"/>
      <c r="AP21" s="55"/>
      <c r="AQ21" s="55"/>
      <c r="AR21" s="55"/>
      <c r="AS21" s="55"/>
      <c r="AT21" s="55"/>
      <c r="AU21" s="55"/>
      <c r="AV21" s="55"/>
    </row>
    <row r="22" ht="12.75" customHeight="1">
      <c r="A22" s="56" t="s">
        <v>53</v>
      </c>
      <c r="B22" s="55">
        <v>15.0</v>
      </c>
      <c r="C22" s="55">
        <v>1.1564</v>
      </c>
      <c r="D22" s="55">
        <v>0.3017</v>
      </c>
      <c r="E22" s="55">
        <v>-0.3958</v>
      </c>
      <c r="F22" s="75"/>
      <c r="G22" s="75"/>
      <c r="H22" s="57">
        <v>4.0794</v>
      </c>
      <c r="I22" s="57">
        <v>-13.8308</v>
      </c>
      <c r="J22" s="58">
        <v>21.1866</v>
      </c>
      <c r="K22" s="55"/>
      <c r="L22" s="56"/>
      <c r="M22" s="55"/>
      <c r="N22" s="55"/>
      <c r="O22" s="55"/>
      <c r="P22" s="55"/>
      <c r="Q22" s="55"/>
      <c r="R22" s="55"/>
      <c r="S22" s="55"/>
      <c r="T22" s="55"/>
      <c r="U22" s="59"/>
      <c r="V22" s="55"/>
      <c r="W22" s="56" t="s">
        <v>47</v>
      </c>
      <c r="X22" s="55">
        <v>20.0</v>
      </c>
      <c r="Y22" s="55">
        <v>1.3532</v>
      </c>
      <c r="Z22" s="55">
        <v>-0.1978</v>
      </c>
      <c r="AA22" s="77">
        <v>-0.4099</v>
      </c>
      <c r="AB22" s="77"/>
      <c r="AC22" s="55"/>
      <c r="AD22" s="55">
        <v>-3.1641</v>
      </c>
      <c r="AE22" s="55">
        <v>1.2106</v>
      </c>
      <c r="AF22" s="71">
        <v>26.3515</v>
      </c>
      <c r="AG22" s="55"/>
      <c r="AH22" s="60"/>
      <c r="AI22" s="60"/>
      <c r="AJ22" s="60"/>
      <c r="AK22" s="55"/>
      <c r="AL22" s="55"/>
      <c r="AM22" s="86">
        <v>5.0</v>
      </c>
      <c r="AN22" s="87">
        <f>HLOOKUP(Coefficients!$AJ$8*100+Coefficients!$AJ$12*10+Coefficients!$AJ$28,'Model LTs'!$A$2:$AB$13,9,FALSE)</f>
        <v>-1.11431929</v>
      </c>
      <c r="AO22" s="88"/>
      <c r="AP22" s="55"/>
      <c r="AQ22" s="55"/>
      <c r="AR22" s="55"/>
      <c r="AS22" s="55"/>
      <c r="AT22" s="55"/>
      <c r="AU22" s="55"/>
      <c r="AV22" s="55"/>
    </row>
    <row r="23" ht="12.75" customHeight="1">
      <c r="A23" s="56" t="s">
        <v>54</v>
      </c>
      <c r="B23" s="55">
        <v>20.0</v>
      </c>
      <c r="C23" s="55">
        <v>1.1307</v>
      </c>
      <c r="D23" s="55">
        <v>0.2596</v>
      </c>
      <c r="E23" s="55">
        <v>-0.3538</v>
      </c>
      <c r="F23" s="75"/>
      <c r="G23" s="75"/>
      <c r="H23" s="57">
        <v>7.1796</v>
      </c>
      <c r="I23" s="57">
        <v>-15.388</v>
      </c>
      <c r="J23" s="58">
        <v>21.7892</v>
      </c>
      <c r="K23" s="55"/>
      <c r="L23" s="56"/>
      <c r="M23" s="55"/>
      <c r="N23" s="55"/>
      <c r="O23" s="55"/>
      <c r="P23" s="55"/>
      <c r="Q23" s="55"/>
      <c r="R23" s="55"/>
      <c r="S23" s="55"/>
      <c r="T23" s="55"/>
      <c r="U23" s="59"/>
      <c r="V23" s="55"/>
      <c r="W23" s="56"/>
      <c r="X23" s="55"/>
      <c r="Y23" s="55"/>
      <c r="Z23" s="55"/>
      <c r="AA23" s="55"/>
      <c r="AB23" s="55"/>
      <c r="AC23" s="55"/>
      <c r="AD23" s="55"/>
      <c r="AE23" s="55"/>
      <c r="AF23" s="59"/>
      <c r="AG23" s="55"/>
      <c r="AH23" s="60" t="s">
        <v>67</v>
      </c>
      <c r="AI23" s="60"/>
      <c r="AJ23" s="60">
        <f>MATCH(Introduction!D14,Variant,0)</f>
        <v>1</v>
      </c>
      <c r="AK23" s="55"/>
      <c r="AL23" s="55"/>
      <c r="AM23" s="86">
        <v>10.0</v>
      </c>
      <c r="AN23" s="87">
        <f>HLOOKUP(Coefficients!$AJ$8*100+Coefficients!$AJ$12*10+Coefficients!$AJ$28,'Model LTs'!$A$2:$AB$13,10,FALSE)</f>
        <v>-1.064845032</v>
      </c>
      <c r="AO23" s="88"/>
      <c r="AP23" s="55"/>
      <c r="AQ23" s="55"/>
      <c r="AR23" s="55"/>
      <c r="AS23" s="55"/>
      <c r="AT23" s="55"/>
      <c r="AU23" s="55"/>
      <c r="AV23" s="55"/>
    </row>
    <row r="24" ht="12.75" customHeight="1">
      <c r="A24" s="78"/>
      <c r="B24" s="55"/>
      <c r="C24" s="75"/>
      <c r="D24" s="75"/>
      <c r="E24" s="75"/>
      <c r="F24" s="75"/>
      <c r="G24" s="75"/>
      <c r="H24" s="75"/>
      <c r="I24" s="75"/>
      <c r="J24" s="76"/>
      <c r="K24" s="55"/>
      <c r="L24" s="56"/>
      <c r="M24" s="55"/>
      <c r="N24" s="55"/>
      <c r="O24" s="55"/>
      <c r="P24" s="55"/>
      <c r="Q24" s="55"/>
      <c r="R24" s="55"/>
      <c r="S24" s="55"/>
      <c r="T24" s="55"/>
      <c r="U24" s="59"/>
      <c r="V24" s="55"/>
      <c r="W24" s="56"/>
      <c r="X24" s="55"/>
      <c r="Y24" s="55"/>
      <c r="Z24" s="55"/>
      <c r="AA24" s="55"/>
      <c r="AB24" s="55"/>
      <c r="AC24" s="55"/>
      <c r="AD24" s="55"/>
      <c r="AE24" s="55"/>
      <c r="AF24" s="59"/>
      <c r="AG24" s="55"/>
      <c r="AH24" s="60"/>
      <c r="AI24" s="68" t="s">
        <v>12</v>
      </c>
      <c r="AJ24" s="60"/>
      <c r="AK24" s="55"/>
      <c r="AL24" s="55"/>
      <c r="AM24" s="86">
        <v>15.0</v>
      </c>
      <c r="AN24" s="87">
        <f>HLOOKUP(Coefficients!$AJ$8*100+Coefficients!$AJ$12*10+Coefficients!$AJ$28,'Model LTs'!$A$2:$AB$13,11,FALSE)</f>
        <v>-1.029311969</v>
      </c>
      <c r="AO24" s="88"/>
      <c r="AP24" s="55"/>
      <c r="AQ24" s="55"/>
      <c r="AR24" s="55"/>
      <c r="AS24" s="55"/>
      <c r="AT24" s="55"/>
      <c r="AU24" s="55"/>
      <c r="AV24" s="55"/>
    </row>
    <row r="25" ht="12.75" customHeight="1">
      <c r="A25" s="78"/>
      <c r="B25" s="55"/>
      <c r="C25" s="75"/>
      <c r="D25" s="75"/>
      <c r="E25" s="75"/>
      <c r="F25" s="75"/>
      <c r="G25" s="75"/>
      <c r="H25" s="75"/>
      <c r="I25" s="75"/>
      <c r="J25" s="76"/>
      <c r="K25" s="55"/>
      <c r="L25" s="56"/>
      <c r="M25" s="55"/>
      <c r="N25" s="55"/>
      <c r="O25" s="55"/>
      <c r="P25" s="55"/>
      <c r="Q25" s="55"/>
      <c r="R25" s="55"/>
      <c r="S25" s="55"/>
      <c r="T25" s="55"/>
      <c r="U25" s="59"/>
      <c r="V25" s="55"/>
      <c r="W25" s="56"/>
      <c r="X25" s="55"/>
      <c r="Y25" s="55"/>
      <c r="Z25" s="55"/>
      <c r="AA25" s="55"/>
      <c r="AB25" s="55"/>
      <c r="AC25" s="55"/>
      <c r="AD25" s="55"/>
      <c r="AE25" s="55"/>
      <c r="AF25" s="59"/>
      <c r="AG25" s="55"/>
      <c r="AH25" s="60"/>
      <c r="AI25" s="79" t="s">
        <v>68</v>
      </c>
      <c r="AJ25" s="60"/>
      <c r="AK25" s="55"/>
      <c r="AL25" s="55"/>
      <c r="AM25" s="89">
        <v>20.0</v>
      </c>
      <c r="AN25" s="90">
        <f>HLOOKUP(Coefficients!$AJ$8*100+Coefficients!$AJ$12*10+Coefficients!$AJ$28,'Model LTs'!$A$2:$AB$13,12,FALSE)</f>
        <v>-0.978934145</v>
      </c>
      <c r="AO25" s="88"/>
      <c r="AP25" s="55"/>
      <c r="AQ25" s="55"/>
      <c r="AR25" s="55"/>
      <c r="AS25" s="55"/>
      <c r="AT25" s="55"/>
      <c r="AU25" s="55"/>
      <c r="AV25" s="55"/>
    </row>
    <row r="26" ht="15.0" customHeight="1">
      <c r="A26" s="38" t="s">
        <v>69</v>
      </c>
      <c r="J26" s="40"/>
      <c r="K26" s="39"/>
      <c r="L26" s="80"/>
      <c r="M26" s="39"/>
      <c r="N26" s="38" t="s">
        <v>69</v>
      </c>
      <c r="U26" s="40"/>
      <c r="V26" s="39"/>
      <c r="W26" s="80"/>
      <c r="X26" s="39"/>
      <c r="Y26" s="38" t="s">
        <v>69</v>
      </c>
      <c r="AF26" s="40"/>
      <c r="AG26" s="55"/>
      <c r="AH26" s="60"/>
      <c r="AI26" s="69" t="s">
        <v>70</v>
      </c>
      <c r="AJ26" s="60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</row>
    <row r="27" ht="12.75" customHeight="1">
      <c r="A27" s="50" t="s">
        <v>32</v>
      </c>
      <c r="B27" s="51" t="s">
        <v>33</v>
      </c>
      <c r="C27" s="52" t="s">
        <v>34</v>
      </c>
      <c r="D27" s="52" t="s">
        <v>35</v>
      </c>
      <c r="E27" s="52" t="s">
        <v>36</v>
      </c>
      <c r="F27" s="52" t="s">
        <v>37</v>
      </c>
      <c r="G27" s="52"/>
      <c r="H27" s="52" t="s">
        <v>38</v>
      </c>
      <c r="I27" s="52" t="s">
        <v>39</v>
      </c>
      <c r="J27" s="53" t="s">
        <v>40</v>
      </c>
      <c r="K27" s="55"/>
      <c r="L27" s="50" t="s">
        <v>41</v>
      </c>
      <c r="M27" s="51" t="s">
        <v>33</v>
      </c>
      <c r="N27" s="52" t="s">
        <v>34</v>
      </c>
      <c r="O27" s="52" t="s">
        <v>35</v>
      </c>
      <c r="P27" s="52" t="s">
        <v>36</v>
      </c>
      <c r="Q27" s="52"/>
      <c r="R27" s="52"/>
      <c r="S27" s="52" t="s">
        <v>38</v>
      </c>
      <c r="T27" s="52" t="s">
        <v>39</v>
      </c>
      <c r="U27" s="53" t="s">
        <v>40</v>
      </c>
      <c r="V27" s="55"/>
      <c r="W27" s="50" t="s">
        <v>41</v>
      </c>
      <c r="X27" s="51" t="s">
        <v>33</v>
      </c>
      <c r="Y27" s="52" t="s">
        <v>34</v>
      </c>
      <c r="Z27" s="52" t="s">
        <v>35</v>
      </c>
      <c r="AA27" s="52" t="s">
        <v>36</v>
      </c>
      <c r="AB27" s="52"/>
      <c r="AC27" s="52"/>
      <c r="AD27" s="52" t="s">
        <v>38</v>
      </c>
      <c r="AE27" s="52" t="s">
        <v>39</v>
      </c>
      <c r="AF27" s="53" t="s">
        <v>40</v>
      </c>
      <c r="AG27" s="55"/>
      <c r="AH27" s="60"/>
      <c r="AI27" s="60"/>
      <c r="AJ27" s="60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</row>
    <row r="28" ht="12.75" customHeight="1">
      <c r="A28" s="56" t="s">
        <v>42</v>
      </c>
      <c r="B28" s="55">
        <v>1.0</v>
      </c>
      <c r="C28" s="57">
        <v>1.1461</v>
      </c>
      <c r="D28" s="57">
        <v>-2.2536</v>
      </c>
      <c r="E28" s="57">
        <v>0.6259</v>
      </c>
      <c r="F28" s="91"/>
      <c r="G28" s="91"/>
      <c r="H28" s="57">
        <v>1.0959</v>
      </c>
      <c r="I28" s="57">
        <v>5.5864</v>
      </c>
      <c r="J28" s="58">
        <v>-1.9949</v>
      </c>
      <c r="K28" s="55"/>
      <c r="L28" s="56" t="s">
        <v>43</v>
      </c>
      <c r="M28" s="55">
        <v>2.0</v>
      </c>
      <c r="N28" s="57">
        <v>1.2182</v>
      </c>
      <c r="O28" s="57">
        <v>-0.1809</v>
      </c>
      <c r="P28" s="57">
        <v>0.0214</v>
      </c>
      <c r="Q28" s="57"/>
      <c r="R28" s="55"/>
      <c r="S28" s="57">
        <v>1.68</v>
      </c>
      <c r="T28" s="57">
        <v>0.99</v>
      </c>
      <c r="U28" s="58">
        <v>-0.33</v>
      </c>
      <c r="V28" s="55"/>
      <c r="W28" s="56" t="s">
        <v>43</v>
      </c>
      <c r="X28" s="55">
        <v>2.0</v>
      </c>
      <c r="Y28" s="55">
        <v>1.2299</v>
      </c>
      <c r="Z28" s="55">
        <v>-0.3998</v>
      </c>
      <c r="AA28" s="55">
        <v>0.091</v>
      </c>
      <c r="AB28" s="55"/>
      <c r="AC28" s="55"/>
      <c r="AD28" s="55">
        <v>1.038</v>
      </c>
      <c r="AE28" s="55">
        <v>1.4213</v>
      </c>
      <c r="AF28" s="59">
        <v>-0.3545</v>
      </c>
      <c r="AG28" s="55"/>
      <c r="AH28" s="60" t="s">
        <v>18</v>
      </c>
      <c r="AI28" s="60"/>
      <c r="AJ28" s="60">
        <f>MATCH(Introduction!D20,Sex,0)</f>
        <v>3</v>
      </c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</row>
    <row r="29" ht="12.75" customHeight="1">
      <c r="A29" s="56" t="s">
        <v>45</v>
      </c>
      <c r="B29" s="55">
        <v>2.0</v>
      </c>
      <c r="C29" s="57">
        <v>1.2231</v>
      </c>
      <c r="D29" s="57">
        <v>-0.4301</v>
      </c>
      <c r="E29" s="57">
        <v>-0.2245</v>
      </c>
      <c r="F29" s="91"/>
      <c r="G29" s="91"/>
      <c r="H29" s="57">
        <v>1.2921</v>
      </c>
      <c r="I29" s="57">
        <v>5.5897</v>
      </c>
      <c r="J29" s="58">
        <v>0.3631</v>
      </c>
      <c r="K29" s="55"/>
      <c r="L29" s="56" t="s">
        <v>46</v>
      </c>
      <c r="M29" s="55">
        <v>5.0</v>
      </c>
      <c r="N29" s="57">
        <v>1.2769</v>
      </c>
      <c r="O29" s="57">
        <v>-0.2268</v>
      </c>
      <c r="P29" s="57">
        <v>-0.1052</v>
      </c>
      <c r="Q29" s="57"/>
      <c r="R29" s="55"/>
      <c r="S29" s="57">
        <v>2.19</v>
      </c>
      <c r="T29" s="57">
        <v>4.28</v>
      </c>
      <c r="U29" s="58">
        <v>0.02</v>
      </c>
      <c r="V29" s="55"/>
      <c r="W29" s="56" t="s">
        <v>46</v>
      </c>
      <c r="X29" s="55">
        <v>3.0</v>
      </c>
      <c r="Y29" s="55">
        <v>1.1611</v>
      </c>
      <c r="Z29" s="55">
        <v>-0.2451</v>
      </c>
      <c r="AA29" s="55">
        <v>-0.0797</v>
      </c>
      <c r="AB29" s="55"/>
      <c r="AC29" s="55"/>
      <c r="AD29" s="55">
        <v>1.6441</v>
      </c>
      <c r="AE29" s="55">
        <v>4.7042</v>
      </c>
      <c r="AF29" s="59">
        <v>0.0642</v>
      </c>
      <c r="AG29" s="55"/>
      <c r="AH29" s="60"/>
      <c r="AI29" s="68" t="s">
        <v>71</v>
      </c>
      <c r="AJ29" s="60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</row>
    <row r="30" ht="12.75" customHeight="1">
      <c r="A30" s="56" t="s">
        <v>47</v>
      </c>
      <c r="B30" s="55">
        <v>3.0</v>
      </c>
      <c r="C30" s="57">
        <v>1.1593</v>
      </c>
      <c r="D30" s="57">
        <v>0.0581</v>
      </c>
      <c r="E30" s="57">
        <v>-0.3479</v>
      </c>
      <c r="F30" s="91"/>
      <c r="G30" s="91"/>
      <c r="H30" s="57">
        <v>1.5021</v>
      </c>
      <c r="I30" s="57">
        <v>2.4692</v>
      </c>
      <c r="J30" s="58">
        <v>5.0927</v>
      </c>
      <c r="K30" s="55"/>
      <c r="L30" s="56" t="s">
        <v>48</v>
      </c>
      <c r="M30" s="55">
        <v>5.0</v>
      </c>
      <c r="N30" s="57">
        <v>1.2731</v>
      </c>
      <c r="O30" s="57">
        <v>5.0E-4</v>
      </c>
      <c r="P30" s="57">
        <v>-0.372</v>
      </c>
      <c r="Q30" s="57"/>
      <c r="R30" s="55"/>
      <c r="S30" s="57">
        <v>0.71</v>
      </c>
      <c r="T30" s="57">
        <v>3.63</v>
      </c>
      <c r="U30" s="58">
        <v>6.36</v>
      </c>
      <c r="V30" s="55"/>
      <c r="W30" s="56" t="s">
        <v>48</v>
      </c>
      <c r="X30" s="55">
        <v>5.0</v>
      </c>
      <c r="Y30" s="55">
        <v>1.2036</v>
      </c>
      <c r="Z30" s="55">
        <v>0.0171</v>
      </c>
      <c r="AA30" s="55">
        <v>-0.2992</v>
      </c>
      <c r="AB30" s="55"/>
      <c r="AC30" s="55"/>
      <c r="AD30" s="55">
        <v>1.1068</v>
      </c>
      <c r="AE30" s="55">
        <v>3.3032</v>
      </c>
      <c r="AF30" s="59">
        <v>5.4464</v>
      </c>
      <c r="AG30" s="55"/>
      <c r="AH30" s="60"/>
      <c r="AI30" s="79" t="s">
        <v>72</v>
      </c>
      <c r="AJ30" s="60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</row>
    <row r="31" ht="12.75" customHeight="1">
      <c r="A31" s="56" t="s">
        <v>50</v>
      </c>
      <c r="B31" s="55">
        <v>5.0</v>
      </c>
      <c r="C31" s="57">
        <v>1.1404</v>
      </c>
      <c r="D31" s="57">
        <v>0.1991</v>
      </c>
      <c r="E31" s="57">
        <v>-0.3487</v>
      </c>
      <c r="F31" s="57"/>
      <c r="G31" s="57"/>
      <c r="H31" s="57">
        <v>1.9347</v>
      </c>
      <c r="I31" s="57">
        <v>-2.6419</v>
      </c>
      <c r="J31" s="58">
        <v>10.8533</v>
      </c>
      <c r="K31" s="55"/>
      <c r="L31" s="56" t="s">
        <v>42</v>
      </c>
      <c r="M31" s="55">
        <v>5.0</v>
      </c>
      <c r="N31" s="57">
        <v>1.2585</v>
      </c>
      <c r="O31" s="57">
        <v>0.1216</v>
      </c>
      <c r="P31" s="57">
        <v>-0.5013</v>
      </c>
      <c r="Q31" s="57"/>
      <c r="R31" s="55"/>
      <c r="S31" s="57">
        <v>-1.96</v>
      </c>
      <c r="T31" s="57">
        <v>-0.71</v>
      </c>
      <c r="U31" s="58">
        <v>17.42</v>
      </c>
      <c r="V31" s="55"/>
      <c r="W31" s="56" t="s">
        <v>42</v>
      </c>
      <c r="X31" s="55">
        <v>10.0</v>
      </c>
      <c r="Y31" s="55">
        <v>1.2773</v>
      </c>
      <c r="Z31" s="55">
        <v>0.1015</v>
      </c>
      <c r="AA31" s="55">
        <v>-0.4276</v>
      </c>
      <c r="AB31" s="55"/>
      <c r="AC31" s="55"/>
      <c r="AD31" s="55">
        <v>-0.8678</v>
      </c>
      <c r="AE31" s="55">
        <v>-1.9683</v>
      </c>
      <c r="AF31" s="59">
        <v>15.5187</v>
      </c>
      <c r="AG31" s="55"/>
      <c r="AH31" s="60"/>
      <c r="AI31" s="69" t="s">
        <v>19</v>
      </c>
      <c r="AJ31" s="60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</row>
    <row r="32" ht="12.75" customHeight="1">
      <c r="A32" s="56" t="s">
        <v>51</v>
      </c>
      <c r="B32" s="55">
        <v>10.0</v>
      </c>
      <c r="C32" s="57">
        <v>1.154</v>
      </c>
      <c r="D32" s="57">
        <v>0.2511</v>
      </c>
      <c r="E32" s="57">
        <v>-0.3506</v>
      </c>
      <c r="F32" s="57"/>
      <c r="G32" s="57"/>
      <c r="H32" s="57">
        <v>2.6197</v>
      </c>
      <c r="I32" s="57">
        <v>-8.9693</v>
      </c>
      <c r="J32" s="58">
        <v>17.0981</v>
      </c>
      <c r="K32" s="55"/>
      <c r="L32" s="56" t="s">
        <v>45</v>
      </c>
      <c r="M32" s="55">
        <v>10.0</v>
      </c>
      <c r="N32" s="57">
        <v>1.341</v>
      </c>
      <c r="O32" s="57">
        <v>0.1749</v>
      </c>
      <c r="P32" s="57">
        <v>-0.5964</v>
      </c>
      <c r="Q32" s="57"/>
      <c r="R32" s="55"/>
      <c r="S32" s="57">
        <v>-4.06</v>
      </c>
      <c r="T32" s="57">
        <v>-6.35</v>
      </c>
      <c r="U32" s="58">
        <v>29.14</v>
      </c>
      <c r="V32" s="55"/>
      <c r="W32" s="56" t="s">
        <v>45</v>
      </c>
      <c r="X32" s="55">
        <v>15.0</v>
      </c>
      <c r="Y32" s="55">
        <v>1.3014</v>
      </c>
      <c r="Z32" s="55">
        <v>-0.0219</v>
      </c>
      <c r="AA32" s="55">
        <v>-0.4195</v>
      </c>
      <c r="AB32" s="55"/>
      <c r="AC32" s="55"/>
      <c r="AD32" s="55">
        <v>-3.2154</v>
      </c>
      <c r="AE32" s="55">
        <v>-4.1123</v>
      </c>
      <c r="AF32" s="59">
        <v>24.8624</v>
      </c>
      <c r="AG32" s="55"/>
      <c r="AH32" s="60"/>
      <c r="AI32" s="60"/>
      <c r="AJ32" s="60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</row>
    <row r="33" ht="12.75" customHeight="1">
      <c r="A33" s="56" t="s">
        <v>53</v>
      </c>
      <c r="B33" s="55">
        <v>15.0</v>
      </c>
      <c r="C33" s="57">
        <v>1.1336</v>
      </c>
      <c r="D33" s="57">
        <v>0.2556</v>
      </c>
      <c r="E33" s="57">
        <v>-0.3428</v>
      </c>
      <c r="F33" s="57"/>
      <c r="G33" s="57"/>
      <c r="H33" s="57">
        <v>4.1317</v>
      </c>
      <c r="I33" s="57">
        <v>-14.355</v>
      </c>
      <c r="J33" s="58">
        <v>21.8247</v>
      </c>
      <c r="K33" s="55"/>
      <c r="L33" s="56"/>
      <c r="M33" s="55"/>
      <c r="N33" s="55"/>
      <c r="O33" s="55"/>
      <c r="P33" s="55"/>
      <c r="Q33" s="55"/>
      <c r="R33" s="55"/>
      <c r="S33" s="55"/>
      <c r="T33" s="55"/>
      <c r="U33" s="59"/>
      <c r="V33" s="55"/>
      <c r="W33" s="56" t="s">
        <v>47</v>
      </c>
      <c r="X33" s="55">
        <v>20.0</v>
      </c>
      <c r="Y33" s="92">
        <v>1.316</v>
      </c>
      <c r="Z33" s="72">
        <v>-0.163</v>
      </c>
      <c r="AA33" s="55">
        <v>-0.3751</v>
      </c>
      <c r="AB33" s="55"/>
      <c r="AC33" s="55"/>
      <c r="AD33" s="55">
        <v>-3.3885</v>
      </c>
      <c r="AE33" s="55">
        <v>1.6746</v>
      </c>
      <c r="AF33" s="59">
        <v>26.9798</v>
      </c>
      <c r="AG33" s="55"/>
      <c r="AH33" s="60" t="s">
        <v>73</v>
      </c>
      <c r="AI33" s="60"/>
      <c r="AJ33" s="60">
        <f>VLOOKUP(100*AJ8+10*AJ12+AJ23,$AI$34:$AI$50,1,FALSE)</f>
        <v>141</v>
      </c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</row>
    <row r="34" ht="12.75" customHeight="1">
      <c r="A34" s="56" t="s">
        <v>54</v>
      </c>
      <c r="B34" s="55">
        <v>20.0</v>
      </c>
      <c r="C34" s="57">
        <v>1.1201</v>
      </c>
      <c r="D34" s="57">
        <v>0.2362</v>
      </c>
      <c r="E34" s="57">
        <v>-0.3268</v>
      </c>
      <c r="F34" s="57"/>
      <c r="G34" s="57"/>
      <c r="H34" s="57">
        <v>7.3657</v>
      </c>
      <c r="I34" s="57">
        <v>-15.8083</v>
      </c>
      <c r="J34" s="58">
        <v>22.3005</v>
      </c>
      <c r="K34" s="55"/>
      <c r="L34" s="56"/>
      <c r="M34" s="55"/>
      <c r="N34" s="55"/>
      <c r="O34" s="55"/>
      <c r="P34" s="55"/>
      <c r="Q34" s="55"/>
      <c r="R34" s="55"/>
      <c r="S34" s="55"/>
      <c r="T34" s="55"/>
      <c r="U34" s="59"/>
      <c r="V34" s="55"/>
      <c r="W34" s="56"/>
      <c r="X34" s="55"/>
      <c r="Y34" s="55"/>
      <c r="Z34" s="55"/>
      <c r="AA34" s="55"/>
      <c r="AB34" s="55"/>
      <c r="AC34" s="55"/>
      <c r="AD34" s="55"/>
      <c r="AE34" s="55"/>
      <c r="AF34" s="59"/>
      <c r="AG34" s="55"/>
      <c r="AH34" s="60"/>
      <c r="AI34" s="68">
        <v>111.0</v>
      </c>
      <c r="AJ34" s="60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</row>
    <row r="35" ht="12.75" customHeight="1">
      <c r="A35" s="56"/>
      <c r="B35" s="55"/>
      <c r="C35" s="55"/>
      <c r="D35" s="55"/>
      <c r="E35" s="55"/>
      <c r="F35" s="55"/>
      <c r="G35" s="55"/>
      <c r="H35" s="55"/>
      <c r="I35" s="55"/>
      <c r="J35" s="59"/>
      <c r="K35" s="55"/>
      <c r="L35" s="56"/>
      <c r="M35" s="55"/>
      <c r="N35" s="55"/>
      <c r="O35" s="55"/>
      <c r="P35" s="55"/>
      <c r="Q35" s="55"/>
      <c r="R35" s="55"/>
      <c r="S35" s="55"/>
      <c r="T35" s="55"/>
      <c r="U35" s="59"/>
      <c r="V35" s="55"/>
      <c r="W35" s="56"/>
      <c r="X35" s="55"/>
      <c r="Y35" s="55"/>
      <c r="Z35" s="55"/>
      <c r="AA35" s="55"/>
      <c r="AB35" s="55"/>
      <c r="AC35" s="55"/>
      <c r="AD35" s="55"/>
      <c r="AE35" s="55"/>
      <c r="AF35" s="59"/>
      <c r="AG35" s="55"/>
      <c r="AH35" s="60"/>
      <c r="AI35" s="79">
        <v>121.0</v>
      </c>
      <c r="AJ35" s="60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</row>
    <row r="36" ht="12.75" customHeight="1">
      <c r="A36" s="56"/>
      <c r="B36" s="55"/>
      <c r="C36" s="55"/>
      <c r="D36" s="55"/>
      <c r="E36" s="55"/>
      <c r="F36" s="55"/>
      <c r="G36" s="55"/>
      <c r="H36" s="55"/>
      <c r="I36" s="55"/>
      <c r="J36" s="59"/>
      <c r="K36" s="55"/>
      <c r="L36" s="56"/>
      <c r="M36" s="55"/>
      <c r="N36" s="55"/>
      <c r="O36" s="55"/>
      <c r="P36" s="55"/>
      <c r="Q36" s="55"/>
      <c r="R36" s="55"/>
      <c r="S36" s="55"/>
      <c r="T36" s="55"/>
      <c r="U36" s="59"/>
      <c r="V36" s="55"/>
      <c r="W36" s="56"/>
      <c r="X36" s="55"/>
      <c r="Y36" s="55"/>
      <c r="Z36" s="55"/>
      <c r="AA36" s="55"/>
      <c r="AB36" s="55"/>
      <c r="AC36" s="55"/>
      <c r="AD36" s="55"/>
      <c r="AE36" s="55"/>
      <c r="AF36" s="59"/>
      <c r="AG36" s="55"/>
      <c r="AH36" s="60"/>
      <c r="AI36" s="79">
        <v>131.0</v>
      </c>
      <c r="AJ36" s="60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</row>
    <row r="37" ht="15.0" customHeight="1">
      <c r="A37" s="38" t="s">
        <v>74</v>
      </c>
      <c r="J37" s="40"/>
      <c r="K37" s="39"/>
      <c r="L37" s="80"/>
      <c r="M37" s="39"/>
      <c r="N37" s="38" t="s">
        <v>74</v>
      </c>
      <c r="U37" s="40"/>
      <c r="V37" s="39"/>
      <c r="W37" s="80"/>
      <c r="X37" s="39"/>
      <c r="Y37" s="38" t="s">
        <v>74</v>
      </c>
      <c r="AF37" s="40"/>
      <c r="AG37" s="55"/>
      <c r="AH37" s="60"/>
      <c r="AI37" s="79">
        <v>141.0</v>
      </c>
      <c r="AJ37" s="60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</row>
    <row r="38" ht="12.75" customHeight="1">
      <c r="A38" s="50" t="s">
        <v>32</v>
      </c>
      <c r="B38" s="51" t="s">
        <v>33</v>
      </c>
      <c r="C38" s="52" t="s">
        <v>34</v>
      </c>
      <c r="D38" s="52" t="s">
        <v>35</v>
      </c>
      <c r="E38" s="52" t="s">
        <v>36</v>
      </c>
      <c r="F38" s="52" t="s">
        <v>37</v>
      </c>
      <c r="G38" s="52"/>
      <c r="H38" s="52" t="s">
        <v>38</v>
      </c>
      <c r="I38" s="52" t="s">
        <v>39</v>
      </c>
      <c r="J38" s="53" t="s">
        <v>40</v>
      </c>
      <c r="K38" s="55"/>
      <c r="L38" s="50" t="s">
        <v>41</v>
      </c>
      <c r="M38" s="51" t="s">
        <v>33</v>
      </c>
      <c r="N38" s="52" t="s">
        <v>34</v>
      </c>
      <c r="O38" s="52" t="s">
        <v>35</v>
      </c>
      <c r="P38" s="52" t="s">
        <v>36</v>
      </c>
      <c r="Q38" s="52"/>
      <c r="R38" s="52"/>
      <c r="S38" s="52" t="s">
        <v>38</v>
      </c>
      <c r="T38" s="52" t="s">
        <v>39</v>
      </c>
      <c r="U38" s="53" t="s">
        <v>40</v>
      </c>
      <c r="V38" s="55"/>
      <c r="W38" s="50" t="s">
        <v>41</v>
      </c>
      <c r="X38" s="51" t="s">
        <v>33</v>
      </c>
      <c r="Y38" s="52" t="s">
        <v>34</v>
      </c>
      <c r="Z38" s="52" t="s">
        <v>35</v>
      </c>
      <c r="AA38" s="52" t="s">
        <v>36</v>
      </c>
      <c r="AB38" s="52"/>
      <c r="AC38" s="52"/>
      <c r="AD38" s="52" t="s">
        <v>38</v>
      </c>
      <c r="AE38" s="52" t="s">
        <v>39</v>
      </c>
      <c r="AF38" s="53" t="s">
        <v>40</v>
      </c>
      <c r="AG38" s="55"/>
      <c r="AH38" s="60"/>
      <c r="AI38" s="79">
        <v>211.0</v>
      </c>
      <c r="AJ38" s="60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</row>
    <row r="39" ht="12.75" customHeight="1">
      <c r="A39" s="56" t="s">
        <v>42</v>
      </c>
      <c r="B39" s="55">
        <v>1.0</v>
      </c>
      <c r="C39" s="57">
        <v>1.1415</v>
      </c>
      <c r="D39" s="57">
        <v>-2.707</v>
      </c>
      <c r="E39" s="57">
        <v>0.7663</v>
      </c>
      <c r="F39" s="57"/>
      <c r="G39" s="57"/>
      <c r="H39" s="57">
        <v>1.097</v>
      </c>
      <c r="I39" s="57">
        <v>5.5628</v>
      </c>
      <c r="J39" s="58">
        <v>-1.9956</v>
      </c>
      <c r="K39" s="55"/>
      <c r="L39" s="56" t="s">
        <v>43</v>
      </c>
      <c r="M39" s="55">
        <v>2.0</v>
      </c>
      <c r="N39" s="57">
        <v>1.2049</v>
      </c>
      <c r="O39" s="57">
        <v>-0.1553</v>
      </c>
      <c r="P39" s="57">
        <v>0.0135</v>
      </c>
      <c r="Q39" s="55"/>
      <c r="R39" s="55"/>
      <c r="S39" s="57">
        <v>1.7</v>
      </c>
      <c r="T39" s="57">
        <v>1.03</v>
      </c>
      <c r="U39" s="58">
        <v>-0.34</v>
      </c>
      <c r="V39" s="55"/>
      <c r="W39" s="56" t="s">
        <v>43</v>
      </c>
      <c r="X39" s="55">
        <v>2.0</v>
      </c>
      <c r="Y39" s="55">
        <v>1.2584</v>
      </c>
      <c r="Z39" s="55">
        <v>-0.4683</v>
      </c>
      <c r="AA39" s="55">
        <v>0.108</v>
      </c>
      <c r="AB39" s="55"/>
      <c r="AC39" s="55"/>
      <c r="AD39" s="55">
        <v>1.0349</v>
      </c>
      <c r="AE39" s="55">
        <v>1.3714</v>
      </c>
      <c r="AF39" s="59">
        <v>-0.339</v>
      </c>
      <c r="AG39" s="55"/>
      <c r="AH39" s="60"/>
      <c r="AI39" s="79">
        <v>221.0</v>
      </c>
      <c r="AJ39" s="60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</row>
    <row r="40" ht="12.75" customHeight="1">
      <c r="A40" s="56" t="s">
        <v>45</v>
      </c>
      <c r="B40" s="55">
        <v>2.0</v>
      </c>
      <c r="C40" s="57">
        <v>1.2563</v>
      </c>
      <c r="D40" s="57">
        <v>-0.5381</v>
      </c>
      <c r="E40" s="57">
        <v>-0.2637</v>
      </c>
      <c r="F40" s="57"/>
      <c r="G40" s="57"/>
      <c r="H40" s="57">
        <v>1.3062</v>
      </c>
      <c r="I40" s="57">
        <v>5.5677</v>
      </c>
      <c r="J40" s="58">
        <v>0.2962</v>
      </c>
      <c r="K40" s="55"/>
      <c r="L40" s="56" t="s">
        <v>46</v>
      </c>
      <c r="M40" s="55">
        <v>5.0</v>
      </c>
      <c r="N40" s="57">
        <v>1.2573</v>
      </c>
      <c r="O40" s="57">
        <v>-0.2266</v>
      </c>
      <c r="P40" s="57">
        <v>-0.0944</v>
      </c>
      <c r="Q40" s="55"/>
      <c r="R40" s="55"/>
      <c r="S40" s="57">
        <v>2.2</v>
      </c>
      <c r="T40" s="57">
        <v>4.2</v>
      </c>
      <c r="U40" s="58">
        <v>0.06</v>
      </c>
      <c r="V40" s="55"/>
      <c r="W40" s="56" t="s">
        <v>46</v>
      </c>
      <c r="X40" s="55">
        <v>3.0</v>
      </c>
      <c r="Y40" s="55">
        <v>1.1841</v>
      </c>
      <c r="Z40" s="55">
        <v>-0.3006</v>
      </c>
      <c r="AA40" s="55">
        <v>-0.0892</v>
      </c>
      <c r="AB40" s="55"/>
      <c r="AC40" s="55"/>
      <c r="AD40" s="55">
        <v>1.6654</v>
      </c>
      <c r="AE40" s="55">
        <v>4.4588</v>
      </c>
      <c r="AF40" s="59">
        <v>0.0233</v>
      </c>
      <c r="AG40" s="55"/>
      <c r="AH40" s="60"/>
      <c r="AI40" s="79">
        <v>231.0</v>
      </c>
      <c r="AJ40" s="60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</row>
    <row r="41" ht="12.75" customHeight="1">
      <c r="A41" s="56" t="s">
        <v>47</v>
      </c>
      <c r="B41" s="55">
        <v>3.0</v>
      </c>
      <c r="C41" s="57">
        <v>1.1851</v>
      </c>
      <c r="D41" s="57">
        <v>0.0633</v>
      </c>
      <c r="E41" s="57">
        <v>-0.4177</v>
      </c>
      <c r="F41" s="57"/>
      <c r="G41" s="57"/>
      <c r="H41" s="57">
        <v>1.5305</v>
      </c>
      <c r="I41" s="57">
        <v>2.5528</v>
      </c>
      <c r="J41" s="58">
        <v>4.8962</v>
      </c>
      <c r="K41" s="55"/>
      <c r="L41" s="56" t="s">
        <v>48</v>
      </c>
      <c r="M41" s="55">
        <v>5.0</v>
      </c>
      <c r="N41" s="57">
        <v>1.2431</v>
      </c>
      <c r="O41" s="57">
        <v>-0.023</v>
      </c>
      <c r="P41" s="57">
        <v>-0.3409</v>
      </c>
      <c r="Q41" s="55"/>
      <c r="R41" s="55"/>
      <c r="S41" s="57">
        <v>0.86</v>
      </c>
      <c r="T41" s="57">
        <v>3.47</v>
      </c>
      <c r="U41" s="58">
        <v>6.21</v>
      </c>
      <c r="V41" s="55"/>
      <c r="W41" s="56" t="s">
        <v>48</v>
      </c>
      <c r="X41" s="55">
        <v>5.0</v>
      </c>
      <c r="Y41" s="55">
        <v>1.2446</v>
      </c>
      <c r="Z41" s="55">
        <v>0.0131</v>
      </c>
      <c r="AA41" s="55">
        <v>-0.3555</v>
      </c>
      <c r="AB41" s="55"/>
      <c r="AC41" s="55"/>
      <c r="AD41" s="55">
        <v>1.2109</v>
      </c>
      <c r="AE41" s="55">
        <v>3.3291</v>
      </c>
      <c r="AF41" s="59">
        <v>5.1402</v>
      </c>
      <c r="AG41" s="55"/>
      <c r="AH41" s="60"/>
      <c r="AI41" s="79">
        <v>241.0</v>
      </c>
      <c r="AJ41" s="60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</row>
    <row r="42" ht="12.75" customHeight="1">
      <c r="A42" s="56" t="s">
        <v>50</v>
      </c>
      <c r="B42" s="55">
        <v>5.0</v>
      </c>
      <c r="C42" s="57">
        <v>1.172</v>
      </c>
      <c r="D42" s="57">
        <v>0.2341</v>
      </c>
      <c r="E42" s="57">
        <v>-0.4272</v>
      </c>
      <c r="F42" s="57"/>
      <c r="G42" s="57"/>
      <c r="H42" s="57">
        <v>1.9991</v>
      </c>
      <c r="I42" s="57">
        <v>-2.4261</v>
      </c>
      <c r="J42" s="58">
        <v>10.4282</v>
      </c>
      <c r="K42" s="55"/>
      <c r="L42" s="56" t="s">
        <v>42</v>
      </c>
      <c r="M42" s="55">
        <v>5.0</v>
      </c>
      <c r="N42" s="57">
        <v>1.2469</v>
      </c>
      <c r="O42" s="57">
        <v>0.0999</v>
      </c>
      <c r="P42" s="57">
        <v>-0.5267</v>
      </c>
      <c r="Q42" s="55"/>
      <c r="R42" s="55"/>
      <c r="S42" s="57">
        <v>-1.46</v>
      </c>
      <c r="T42" s="57">
        <v>-0.69</v>
      </c>
      <c r="U42" s="58">
        <v>16.49</v>
      </c>
      <c r="V42" s="55"/>
      <c r="W42" s="56" t="s">
        <v>42</v>
      </c>
      <c r="X42" s="55">
        <v>10.0</v>
      </c>
      <c r="Y42" s="55">
        <v>1.3353</v>
      </c>
      <c r="Z42" s="55">
        <v>0.1157</v>
      </c>
      <c r="AA42" s="55">
        <v>-0.5245</v>
      </c>
      <c r="AB42" s="55"/>
      <c r="AC42" s="55"/>
      <c r="AD42" s="55">
        <v>-0.537</v>
      </c>
      <c r="AE42" s="55">
        <v>-1.7679</v>
      </c>
      <c r="AF42" s="59">
        <v>14.637</v>
      </c>
      <c r="AG42" s="55"/>
      <c r="AH42" s="60"/>
      <c r="AI42" s="79">
        <v>251.0</v>
      </c>
      <c r="AJ42" s="60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</row>
    <row r="43" ht="12.75" customHeight="1">
      <c r="A43" s="56" t="s">
        <v>51</v>
      </c>
      <c r="B43" s="55">
        <v>10.0</v>
      </c>
      <c r="C43" s="57">
        <v>1.1865</v>
      </c>
      <c r="D43" s="57">
        <v>0.308</v>
      </c>
      <c r="E43" s="57">
        <v>-0.4452</v>
      </c>
      <c r="F43" s="57"/>
      <c r="G43" s="57"/>
      <c r="H43" s="57">
        <v>2.7632</v>
      </c>
      <c r="I43" s="57">
        <v>-8.4065</v>
      </c>
      <c r="J43" s="58">
        <v>16.1787</v>
      </c>
      <c r="K43" s="55"/>
      <c r="L43" s="56" t="s">
        <v>45</v>
      </c>
      <c r="M43" s="55">
        <v>10.0</v>
      </c>
      <c r="N43" s="57">
        <v>1.4258</v>
      </c>
      <c r="O43" s="57">
        <v>0.1948</v>
      </c>
      <c r="P43" s="57">
        <v>-0.7454</v>
      </c>
      <c r="Q43" s="55"/>
      <c r="R43" s="55"/>
      <c r="S43" s="57">
        <v>-2.97</v>
      </c>
      <c r="T43" s="57">
        <v>-5.8</v>
      </c>
      <c r="U43" s="58">
        <v>26.65</v>
      </c>
      <c r="V43" s="55"/>
      <c r="W43" s="56" t="s">
        <v>45</v>
      </c>
      <c r="X43" s="55">
        <v>15.0</v>
      </c>
      <c r="Y43" s="55">
        <v>1.3875</v>
      </c>
      <c r="Z43" s="55">
        <v>-0.0193</v>
      </c>
      <c r="AA43" s="55">
        <v>-0.5472</v>
      </c>
      <c r="AB43" s="55"/>
      <c r="AC43" s="55"/>
      <c r="AD43" s="55">
        <v>-2.4694</v>
      </c>
      <c r="AE43" s="55">
        <v>-3.9194</v>
      </c>
      <c r="AF43" s="59">
        <v>23.0999</v>
      </c>
      <c r="AG43" s="55"/>
      <c r="AH43" s="60"/>
      <c r="AI43" s="79">
        <v>112.0</v>
      </c>
      <c r="AJ43" s="60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</row>
    <row r="44" ht="12.75" customHeight="1">
      <c r="A44" s="56" t="s">
        <v>53</v>
      </c>
      <c r="B44" s="55">
        <v>15.0</v>
      </c>
      <c r="C44" s="57">
        <v>1.1746</v>
      </c>
      <c r="D44" s="57">
        <v>0.3314</v>
      </c>
      <c r="E44" s="57">
        <v>-0.4537</v>
      </c>
      <c r="F44" s="57"/>
      <c r="G44" s="57"/>
      <c r="H44" s="57">
        <v>4.3468</v>
      </c>
      <c r="I44" s="57">
        <v>-13.2436</v>
      </c>
      <c r="J44" s="58">
        <v>20.199</v>
      </c>
      <c r="K44" s="55"/>
      <c r="L44" s="93"/>
      <c r="M44" s="62"/>
      <c r="N44" s="62"/>
      <c r="O44" s="62"/>
      <c r="P44" s="62"/>
      <c r="Q44" s="62"/>
      <c r="R44" s="62"/>
      <c r="S44" s="62"/>
      <c r="T44" s="62"/>
      <c r="U44" s="94"/>
      <c r="V44" s="55"/>
      <c r="W44" s="93" t="s">
        <v>47</v>
      </c>
      <c r="X44" s="62">
        <v>20.0</v>
      </c>
      <c r="Y44" s="62">
        <v>1.4227</v>
      </c>
      <c r="Z44" s="62">
        <v>-0.1954</v>
      </c>
      <c r="AA44" s="62">
        <v>-0.5127</v>
      </c>
      <c r="AB44" s="62"/>
      <c r="AC44" s="62"/>
      <c r="AD44" s="62">
        <v>-2.2107</v>
      </c>
      <c r="AE44" s="62">
        <v>1.3059</v>
      </c>
      <c r="AF44" s="94">
        <v>24.4479</v>
      </c>
      <c r="AG44" s="55"/>
      <c r="AH44" s="60"/>
      <c r="AI44" s="79">
        <v>122.0</v>
      </c>
      <c r="AJ44" s="60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</row>
    <row r="45" ht="12.75" customHeight="1">
      <c r="A45" s="56" t="s">
        <v>54</v>
      </c>
      <c r="B45" s="55">
        <v>20.0</v>
      </c>
      <c r="C45" s="57">
        <v>1.1639</v>
      </c>
      <c r="D45" s="57">
        <v>0.319</v>
      </c>
      <c r="E45" s="57">
        <v>-0.4435</v>
      </c>
      <c r="F45" s="57"/>
      <c r="G45" s="57"/>
      <c r="H45" s="57">
        <v>7.5242</v>
      </c>
      <c r="I45" s="57">
        <v>-14.2013</v>
      </c>
      <c r="J45" s="58">
        <v>20.0162</v>
      </c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60"/>
      <c r="AI45" s="79">
        <v>132.0</v>
      </c>
      <c r="AJ45" s="60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</row>
    <row r="46" ht="12.75" customHeight="1">
      <c r="A46" s="56"/>
      <c r="B46" s="55"/>
      <c r="C46" s="55"/>
      <c r="D46" s="55"/>
      <c r="E46" s="55"/>
      <c r="F46" s="55"/>
      <c r="G46" s="55"/>
      <c r="H46" s="55"/>
      <c r="I46" s="55"/>
      <c r="J46" s="59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60"/>
      <c r="AI46" s="79">
        <v>142.0</v>
      </c>
      <c r="AJ46" s="60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</row>
    <row r="47" ht="12.75" customHeight="1">
      <c r="A47" s="56"/>
      <c r="B47" s="55"/>
      <c r="C47" s="55"/>
      <c r="D47" s="55"/>
      <c r="E47" s="55"/>
      <c r="F47" s="55"/>
      <c r="G47" s="55"/>
      <c r="H47" s="55"/>
      <c r="I47" s="55"/>
      <c r="J47" s="59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60"/>
      <c r="AI47" s="79">
        <v>113.0</v>
      </c>
      <c r="AJ47" s="60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</row>
    <row r="48" ht="12.75" customHeight="1">
      <c r="A48" s="38" t="s">
        <v>75</v>
      </c>
      <c r="J48" s="40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60"/>
      <c r="AI48" s="79">
        <v>123.0</v>
      </c>
      <c r="AJ48" s="60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</row>
    <row r="49" ht="12.75" customHeight="1">
      <c r="A49" s="50" t="s">
        <v>32</v>
      </c>
      <c r="B49" s="51" t="s">
        <v>33</v>
      </c>
      <c r="C49" s="52" t="s">
        <v>34</v>
      </c>
      <c r="D49" s="52" t="s">
        <v>35</v>
      </c>
      <c r="E49" s="52" t="s">
        <v>36</v>
      </c>
      <c r="F49" s="52" t="s">
        <v>37</v>
      </c>
      <c r="G49" s="52"/>
      <c r="H49" s="52" t="s">
        <v>38</v>
      </c>
      <c r="I49" s="52" t="s">
        <v>39</v>
      </c>
      <c r="J49" s="53" t="s">
        <v>40</v>
      </c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60"/>
      <c r="AI49" s="79">
        <v>133.0</v>
      </c>
      <c r="AJ49" s="60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</row>
    <row r="50" ht="12.75" customHeight="1">
      <c r="A50" s="56" t="s">
        <v>42</v>
      </c>
      <c r="B50" s="55">
        <v>1.0</v>
      </c>
      <c r="C50" s="57">
        <v>0.6892</v>
      </c>
      <c r="D50" s="57">
        <v>-1.6937</v>
      </c>
      <c r="E50" s="57">
        <v>0.6464</v>
      </c>
      <c r="F50" s="57">
        <v>0.0106</v>
      </c>
      <c r="G50" s="55"/>
      <c r="H50" s="57">
        <v>1.1703</v>
      </c>
      <c r="I50" s="57">
        <v>0.5129</v>
      </c>
      <c r="J50" s="58">
        <v>-0.385</v>
      </c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60"/>
      <c r="AI50" s="69">
        <v>143.0</v>
      </c>
      <c r="AJ50" s="60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</row>
    <row r="51" ht="12.75" customHeight="1">
      <c r="A51" s="56" t="s">
        <v>45</v>
      </c>
      <c r="B51" s="55">
        <v>2.0</v>
      </c>
      <c r="C51" s="57">
        <v>1.3625</v>
      </c>
      <c r="D51" s="57">
        <v>-0.3778</v>
      </c>
      <c r="E51" s="57">
        <v>-0.2892</v>
      </c>
      <c r="F51" s="57">
        <v>-0.0041</v>
      </c>
      <c r="G51" s="55"/>
      <c r="H51" s="57">
        <v>1.6955</v>
      </c>
      <c r="I51" s="57">
        <v>4.132</v>
      </c>
      <c r="J51" s="58">
        <v>-0.1635</v>
      </c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60"/>
      <c r="AI51" s="60"/>
      <c r="AJ51" s="60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</row>
    <row r="52" ht="12.75" customHeight="1">
      <c r="A52" s="56" t="s">
        <v>47</v>
      </c>
      <c r="B52" s="55">
        <v>3.0</v>
      </c>
      <c r="C52" s="57">
        <v>1.0877</v>
      </c>
      <c r="D52" s="57">
        <v>0.0197</v>
      </c>
      <c r="E52" s="57">
        <v>-0.2986</v>
      </c>
      <c r="F52" s="57">
        <v>0.0024</v>
      </c>
      <c r="G52" s="55"/>
      <c r="H52" s="57">
        <v>1.8296</v>
      </c>
      <c r="I52" s="57">
        <v>2.902</v>
      </c>
      <c r="J52" s="58">
        <v>3.4707</v>
      </c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</row>
    <row r="53" ht="12.75" customHeight="1">
      <c r="A53" s="56" t="s">
        <v>50</v>
      </c>
      <c r="B53" s="55">
        <v>5.0</v>
      </c>
      <c r="C53" s="57">
        <v>0.75</v>
      </c>
      <c r="D53" s="57">
        <v>0.0532</v>
      </c>
      <c r="E53" s="57">
        <v>-0.1106</v>
      </c>
      <c r="F53" s="57">
        <v>0.0115</v>
      </c>
      <c r="G53" s="55"/>
      <c r="H53" s="57">
        <v>2.1783</v>
      </c>
      <c r="I53" s="57">
        <v>-2.5688</v>
      </c>
      <c r="J53" s="58">
        <v>9.0883</v>
      </c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</row>
    <row r="54" ht="12.75" customHeight="1">
      <c r="A54" s="56" t="s">
        <v>51</v>
      </c>
      <c r="B54" s="55">
        <v>10.0</v>
      </c>
      <c r="C54" s="57">
        <v>0.5605</v>
      </c>
      <c r="D54" s="57">
        <v>0.0222</v>
      </c>
      <c r="E54" s="57">
        <v>0.017</v>
      </c>
      <c r="F54" s="57">
        <v>0.0171</v>
      </c>
      <c r="G54" s="55"/>
      <c r="H54" s="57">
        <v>2.8836</v>
      </c>
      <c r="I54" s="57">
        <v>-10.3282</v>
      </c>
      <c r="J54" s="58">
        <v>15.4301</v>
      </c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</row>
    <row r="55" ht="12.75" customHeight="1">
      <c r="A55" s="56" t="s">
        <v>53</v>
      </c>
      <c r="B55" s="55">
        <v>15.0</v>
      </c>
      <c r="C55" s="57">
        <v>0.5024</v>
      </c>
      <c r="D55" s="57">
        <v>0.0028</v>
      </c>
      <c r="E55" s="57">
        <v>0.0048</v>
      </c>
      <c r="F55" s="57">
        <v>0.018</v>
      </c>
      <c r="G55" s="55"/>
      <c r="H55" s="57">
        <v>4.458</v>
      </c>
      <c r="I55" s="57">
        <v>-17.1809</v>
      </c>
      <c r="J55" s="58">
        <v>20.4296</v>
      </c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</row>
    <row r="56" ht="12.75" customHeight="1">
      <c r="A56" s="56" t="s">
        <v>54</v>
      </c>
      <c r="B56" s="55">
        <v>20.0</v>
      </c>
      <c r="C56" s="57">
        <v>0.5326</v>
      </c>
      <c r="D56" s="57">
        <v>0.0052</v>
      </c>
      <c r="E56" s="57">
        <v>0.0256</v>
      </c>
      <c r="F56" s="57">
        <v>0.0168</v>
      </c>
      <c r="G56" s="55"/>
      <c r="H56" s="57">
        <v>6.9351</v>
      </c>
      <c r="I56" s="57">
        <v>-19.3871</v>
      </c>
      <c r="J56" s="58">
        <v>23.4007</v>
      </c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</row>
    <row r="57" ht="12.75" customHeight="1">
      <c r="A57" s="56"/>
      <c r="B57" s="55"/>
      <c r="C57" s="55"/>
      <c r="D57" s="55"/>
      <c r="E57" s="55"/>
      <c r="F57" s="55"/>
      <c r="G57" s="55"/>
      <c r="H57" s="55"/>
      <c r="I57" s="55"/>
      <c r="J57" s="59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</row>
    <row r="58" ht="12.75" customHeight="1">
      <c r="A58" s="56"/>
      <c r="B58" s="55"/>
      <c r="C58" s="55"/>
      <c r="D58" s="55"/>
      <c r="E58" s="55"/>
      <c r="F58" s="55"/>
      <c r="G58" s="55"/>
      <c r="H58" s="55"/>
      <c r="I58" s="55"/>
      <c r="J58" s="59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</row>
    <row r="59" ht="12.75" customHeight="1">
      <c r="A59" s="38" t="s">
        <v>76</v>
      </c>
      <c r="J59" s="40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</row>
    <row r="60" ht="12.75" customHeight="1">
      <c r="A60" s="50" t="s">
        <v>32</v>
      </c>
      <c r="B60" s="51" t="s">
        <v>33</v>
      </c>
      <c r="C60" s="52" t="s">
        <v>34</v>
      </c>
      <c r="D60" s="52" t="s">
        <v>35</v>
      </c>
      <c r="E60" s="52" t="s">
        <v>36</v>
      </c>
      <c r="F60" s="52" t="s">
        <v>37</v>
      </c>
      <c r="G60" s="52"/>
      <c r="H60" s="52" t="s">
        <v>38</v>
      </c>
      <c r="I60" s="52" t="s">
        <v>39</v>
      </c>
      <c r="J60" s="53" t="s">
        <v>40</v>
      </c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</row>
    <row r="61" ht="12.75" customHeight="1">
      <c r="A61" s="56" t="s">
        <v>42</v>
      </c>
      <c r="B61" s="55">
        <v>1.0</v>
      </c>
      <c r="C61" s="57">
        <v>0.8274</v>
      </c>
      <c r="D61" s="57">
        <v>-1.5854</v>
      </c>
      <c r="E61" s="57">
        <v>0.5949</v>
      </c>
      <c r="F61" s="57">
        <v>0.0097</v>
      </c>
      <c r="G61" s="57"/>
      <c r="H61" s="57">
        <v>1.3092</v>
      </c>
      <c r="I61" s="57">
        <v>1.9474</v>
      </c>
      <c r="J61" s="58">
        <v>-0.7982</v>
      </c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</row>
    <row r="62" ht="12.75" customHeight="1">
      <c r="A62" s="56" t="s">
        <v>45</v>
      </c>
      <c r="B62" s="55">
        <v>2.0</v>
      </c>
      <c r="C62" s="57">
        <v>1.3129</v>
      </c>
      <c r="D62" s="57">
        <v>-0.2457</v>
      </c>
      <c r="E62" s="57">
        <v>-0.2329</v>
      </c>
      <c r="F62" s="57">
        <v>-0.0031</v>
      </c>
      <c r="G62" s="57"/>
      <c r="H62" s="57">
        <v>1.6897</v>
      </c>
      <c r="I62" s="57">
        <v>4.6176</v>
      </c>
      <c r="J62" s="58">
        <v>-0.0173</v>
      </c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</row>
    <row r="63" ht="12.75" customHeight="1">
      <c r="A63" s="56" t="s">
        <v>47</v>
      </c>
      <c r="B63" s="55">
        <v>3.0</v>
      </c>
      <c r="C63" s="57">
        <v>1.0632</v>
      </c>
      <c r="D63" s="57">
        <v>0.0196</v>
      </c>
      <c r="E63" s="57">
        <v>-0.1996</v>
      </c>
      <c r="F63" s="57">
        <v>0.0021</v>
      </c>
      <c r="G63" s="57"/>
      <c r="H63" s="57">
        <v>1.8368</v>
      </c>
      <c r="I63" s="57">
        <v>2.637</v>
      </c>
      <c r="J63" s="58">
        <v>4.0305</v>
      </c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</row>
    <row r="64" ht="12.75" customHeight="1">
      <c r="A64" s="56" t="s">
        <v>50</v>
      </c>
      <c r="B64" s="55">
        <v>5.0</v>
      </c>
      <c r="C64" s="57">
        <v>0.8236</v>
      </c>
      <c r="D64" s="57">
        <v>0.0293</v>
      </c>
      <c r="E64" s="57">
        <v>-0.0684</v>
      </c>
      <c r="F64" s="57">
        <v>0.0081</v>
      </c>
      <c r="G64" s="57"/>
      <c r="H64" s="57">
        <v>2.2036</v>
      </c>
      <c r="I64" s="57">
        <v>-3.352</v>
      </c>
      <c r="J64" s="58">
        <v>9.9233</v>
      </c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</row>
    <row r="65" ht="12.75" customHeight="1">
      <c r="A65" s="56" t="s">
        <v>51</v>
      </c>
      <c r="B65" s="55">
        <v>10.0</v>
      </c>
      <c r="C65" s="57">
        <v>0.6895</v>
      </c>
      <c r="D65" s="57">
        <v>0.0068</v>
      </c>
      <c r="E65" s="57">
        <v>0.0032</v>
      </c>
      <c r="F65" s="57">
        <v>0.0119</v>
      </c>
      <c r="G65" s="57"/>
      <c r="H65" s="57">
        <v>2.9955</v>
      </c>
      <c r="I65" s="57">
        <v>-11.4013</v>
      </c>
      <c r="J65" s="58">
        <v>16.3441</v>
      </c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</row>
    <row r="66" ht="12.75" customHeight="1">
      <c r="A66" s="56" t="s">
        <v>53</v>
      </c>
      <c r="B66" s="55">
        <v>15.0</v>
      </c>
      <c r="C66" s="57">
        <v>0.6098</v>
      </c>
      <c r="D66" s="57">
        <v>-0.0014</v>
      </c>
      <c r="E66" s="57">
        <v>0.0166</v>
      </c>
      <c r="F66" s="57">
        <v>0.0141</v>
      </c>
      <c r="G66" s="57"/>
      <c r="H66" s="57">
        <v>4.7734</v>
      </c>
      <c r="I66" s="57">
        <v>-17.885</v>
      </c>
      <c r="J66" s="58">
        <v>20.8883</v>
      </c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</row>
    <row r="67" ht="12.75" customHeight="1">
      <c r="A67" s="56" t="s">
        <v>54</v>
      </c>
      <c r="B67" s="55">
        <v>20.0</v>
      </c>
      <c r="C67" s="57">
        <v>0.5615</v>
      </c>
      <c r="D67" s="57">
        <v>0.004</v>
      </c>
      <c r="E67" s="57">
        <v>0.0073</v>
      </c>
      <c r="F67" s="57">
        <v>0.0159</v>
      </c>
      <c r="G67" s="57"/>
      <c r="H67" s="57">
        <v>7.4495</v>
      </c>
      <c r="I67" s="57">
        <v>-19.0513</v>
      </c>
      <c r="J67" s="58">
        <v>23.0529</v>
      </c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</row>
    <row r="68" ht="12.75" customHeight="1">
      <c r="A68" s="56"/>
      <c r="B68" s="55"/>
      <c r="C68" s="55"/>
      <c r="D68" s="55"/>
      <c r="E68" s="55"/>
      <c r="F68" s="55"/>
      <c r="G68" s="55"/>
      <c r="H68" s="55"/>
      <c r="I68" s="55"/>
      <c r="J68" s="59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</row>
    <row r="69" ht="12.75" customHeight="1">
      <c r="A69" s="56"/>
      <c r="B69" s="55"/>
      <c r="C69" s="55"/>
      <c r="D69" s="55"/>
      <c r="E69" s="55"/>
      <c r="F69" s="55"/>
      <c r="G69" s="55"/>
      <c r="H69" s="55"/>
      <c r="I69" s="55"/>
      <c r="J69" s="59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</row>
    <row r="70" ht="12.75" customHeight="1">
      <c r="A70" s="38" t="s">
        <v>77</v>
      </c>
      <c r="J70" s="40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</row>
    <row r="71" ht="12.75" customHeight="1">
      <c r="A71" s="50" t="s">
        <v>32</v>
      </c>
      <c r="B71" s="51" t="s">
        <v>33</v>
      </c>
      <c r="C71" s="52" t="s">
        <v>34</v>
      </c>
      <c r="D71" s="52" t="s">
        <v>35</v>
      </c>
      <c r="E71" s="52" t="s">
        <v>36</v>
      </c>
      <c r="F71" s="52" t="s">
        <v>37</v>
      </c>
      <c r="G71" s="52"/>
      <c r="H71" s="52" t="s">
        <v>38</v>
      </c>
      <c r="I71" s="52" t="s">
        <v>39</v>
      </c>
      <c r="J71" s="53" t="s">
        <v>40</v>
      </c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</row>
    <row r="72" ht="12.75" customHeight="1">
      <c r="A72" s="56" t="s">
        <v>42</v>
      </c>
      <c r="B72" s="55">
        <v>1.0</v>
      </c>
      <c r="C72" s="57">
        <v>0.6749</v>
      </c>
      <c r="D72" s="57">
        <v>-1.758</v>
      </c>
      <c r="E72" s="57">
        <v>0.6805</v>
      </c>
      <c r="F72" s="57">
        <v>0.0109</v>
      </c>
      <c r="G72" s="57"/>
      <c r="H72" s="57">
        <v>1.1922</v>
      </c>
      <c r="I72" s="57">
        <v>0.794</v>
      </c>
      <c r="J72" s="58">
        <v>-0.5425</v>
      </c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</row>
    <row r="73" ht="12.75" customHeight="1">
      <c r="A73" s="56" t="s">
        <v>45</v>
      </c>
      <c r="B73" s="55">
        <v>2.0</v>
      </c>
      <c r="C73" s="57">
        <v>1.3716</v>
      </c>
      <c r="D73" s="57">
        <v>-0.3652</v>
      </c>
      <c r="E73" s="57">
        <v>-0.2966</v>
      </c>
      <c r="F73" s="57">
        <v>-0.0041</v>
      </c>
      <c r="G73" s="57"/>
      <c r="H73" s="57">
        <v>1.7173</v>
      </c>
      <c r="I73" s="57">
        <v>4.3117</v>
      </c>
      <c r="J73" s="58">
        <v>-0.1653</v>
      </c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</row>
    <row r="74" ht="12.75" customHeight="1">
      <c r="A74" s="56" t="s">
        <v>47</v>
      </c>
      <c r="B74" s="55">
        <v>3.0</v>
      </c>
      <c r="C74" s="57">
        <v>1.0899</v>
      </c>
      <c r="D74" s="57">
        <v>0.0299</v>
      </c>
      <c r="E74" s="57">
        <v>-0.2887</v>
      </c>
      <c r="F74" s="57">
        <v>0.0024</v>
      </c>
      <c r="G74" s="57"/>
      <c r="H74" s="57">
        <v>1.8631</v>
      </c>
      <c r="I74" s="57">
        <v>2.8767</v>
      </c>
      <c r="J74" s="58">
        <v>3.5848</v>
      </c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</row>
    <row r="75" ht="12.75" customHeight="1">
      <c r="A75" s="56" t="s">
        <v>50</v>
      </c>
      <c r="B75" s="55">
        <v>5.0</v>
      </c>
      <c r="C75" s="57">
        <v>0.7694</v>
      </c>
      <c r="D75" s="57">
        <v>0.0548</v>
      </c>
      <c r="E75" s="57">
        <v>-0.0934</v>
      </c>
      <c r="F75" s="57">
        <v>0.0108</v>
      </c>
      <c r="G75" s="57"/>
      <c r="H75" s="57">
        <v>2.1808</v>
      </c>
      <c r="I75" s="57">
        <v>-2.7219</v>
      </c>
      <c r="J75" s="58">
        <v>9.3705</v>
      </c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</row>
    <row r="76" ht="12.75" customHeight="1">
      <c r="A76" s="56" t="s">
        <v>51</v>
      </c>
      <c r="B76" s="55">
        <v>10.0</v>
      </c>
      <c r="C76" s="57">
        <v>0.6156</v>
      </c>
      <c r="D76" s="57">
        <v>0.0231</v>
      </c>
      <c r="E76" s="57">
        <v>0.0298</v>
      </c>
      <c r="F76" s="57">
        <v>0.0149</v>
      </c>
      <c r="G76" s="57"/>
      <c r="H76" s="57">
        <v>2.7654</v>
      </c>
      <c r="I76" s="57">
        <v>-10.8808</v>
      </c>
      <c r="J76" s="58">
        <v>16.2255</v>
      </c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</row>
    <row r="77" ht="12.75" customHeight="1">
      <c r="A77" s="56" t="s">
        <v>53</v>
      </c>
      <c r="B77" s="55">
        <v>15.0</v>
      </c>
      <c r="C77" s="57">
        <v>0.6077</v>
      </c>
      <c r="D77" s="57">
        <v>0.004</v>
      </c>
      <c r="E77" s="57">
        <v>0.0573</v>
      </c>
      <c r="F77" s="57">
        <v>0.0141</v>
      </c>
      <c r="G77" s="57"/>
      <c r="H77" s="57">
        <v>4.1378</v>
      </c>
      <c r="I77" s="57">
        <v>-18.6219</v>
      </c>
      <c r="J77" s="58">
        <v>22.239</v>
      </c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</row>
    <row r="78" ht="12.75" customHeight="1">
      <c r="A78" s="56" t="s">
        <v>54</v>
      </c>
      <c r="B78" s="55">
        <v>20.0</v>
      </c>
      <c r="C78" s="57">
        <v>0.6952</v>
      </c>
      <c r="D78" s="57">
        <v>0.0018</v>
      </c>
      <c r="E78" s="57">
        <v>0.0306</v>
      </c>
      <c r="F78" s="57">
        <v>0.0109</v>
      </c>
      <c r="G78" s="57"/>
      <c r="H78" s="57">
        <v>6.4885</v>
      </c>
      <c r="I78" s="57">
        <v>-22.2001</v>
      </c>
      <c r="J78" s="58">
        <v>26.4911</v>
      </c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</row>
    <row r="79" ht="12.75" customHeight="1">
      <c r="A79" s="56"/>
      <c r="B79" s="55"/>
      <c r="C79" s="55"/>
      <c r="D79" s="55"/>
      <c r="E79" s="55"/>
      <c r="F79" s="55"/>
      <c r="G79" s="55"/>
      <c r="H79" s="55"/>
      <c r="I79" s="55"/>
      <c r="J79" s="59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</row>
    <row r="80" ht="12.75" customHeight="1">
      <c r="A80" s="56"/>
      <c r="B80" s="55"/>
      <c r="C80" s="55"/>
      <c r="D80" s="55"/>
      <c r="E80" s="55"/>
      <c r="F80" s="55"/>
      <c r="G80" s="55"/>
      <c r="H80" s="55"/>
      <c r="I80" s="55"/>
      <c r="J80" s="59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</row>
    <row r="81" ht="12.75" customHeight="1">
      <c r="A81" s="38" t="s">
        <v>78</v>
      </c>
      <c r="J81" s="40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</row>
    <row r="82" ht="12.75" customHeight="1">
      <c r="A82" s="50" t="s">
        <v>32</v>
      </c>
      <c r="B82" s="51" t="s">
        <v>33</v>
      </c>
      <c r="C82" s="52" t="s">
        <v>34</v>
      </c>
      <c r="D82" s="52" t="s">
        <v>35</v>
      </c>
      <c r="E82" s="52" t="s">
        <v>36</v>
      </c>
      <c r="F82" s="52" t="s">
        <v>37</v>
      </c>
      <c r="G82" s="52"/>
      <c r="H82" s="52" t="s">
        <v>38</v>
      </c>
      <c r="I82" s="52" t="s">
        <v>39</v>
      </c>
      <c r="J82" s="53" t="s">
        <v>40</v>
      </c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</row>
    <row r="83" ht="12.75" customHeight="1">
      <c r="A83" s="56" t="s">
        <v>42</v>
      </c>
      <c r="B83" s="55">
        <v>1.0</v>
      </c>
      <c r="C83" s="55">
        <v>0.7194</v>
      </c>
      <c r="D83" s="55">
        <v>-1.3143</v>
      </c>
      <c r="E83" s="55">
        <v>0.5432</v>
      </c>
      <c r="F83" s="55">
        <v>0.0093</v>
      </c>
      <c r="G83" s="55"/>
      <c r="H83" s="55">
        <v>1.2779</v>
      </c>
      <c r="I83" s="55">
        <v>1.5714</v>
      </c>
      <c r="J83" s="59">
        <v>-0.6994</v>
      </c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</row>
    <row r="84" ht="12.75" customHeight="1">
      <c r="A84" s="56" t="s">
        <v>45</v>
      </c>
      <c r="B84" s="55">
        <v>2.0</v>
      </c>
      <c r="C84" s="55">
        <v>1.2671</v>
      </c>
      <c r="D84" s="55">
        <v>-0.2996</v>
      </c>
      <c r="E84" s="55">
        <v>-0.2105</v>
      </c>
      <c r="F84" s="55">
        <v>-0.0029</v>
      </c>
      <c r="G84" s="55"/>
      <c r="H84" s="55">
        <v>1.7471</v>
      </c>
      <c r="I84" s="55">
        <v>4.2638</v>
      </c>
      <c r="J84" s="59">
        <v>-0.0752</v>
      </c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</row>
    <row r="85" ht="12.75" customHeight="1">
      <c r="A85" s="56" t="s">
        <v>47</v>
      </c>
      <c r="B85" s="55">
        <v>3.0</v>
      </c>
      <c r="C85" s="55">
        <v>1.0668</v>
      </c>
      <c r="D85" s="55">
        <v>0.0017</v>
      </c>
      <c r="E85" s="55">
        <v>-0.2424</v>
      </c>
      <c r="F85" s="55">
        <v>0.0019</v>
      </c>
      <c r="G85" s="55"/>
      <c r="H85" s="55">
        <v>1.9107</v>
      </c>
      <c r="I85" s="55">
        <v>2.7285</v>
      </c>
      <c r="J85" s="59">
        <v>3.5881</v>
      </c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</row>
    <row r="86" ht="12.75" customHeight="1">
      <c r="A86" s="56" t="s">
        <v>50</v>
      </c>
      <c r="B86" s="55">
        <v>5.0</v>
      </c>
      <c r="C86" s="55">
        <v>0.7833</v>
      </c>
      <c r="D86" s="55">
        <v>0.0307</v>
      </c>
      <c r="E86" s="55">
        <v>-0.1103</v>
      </c>
      <c r="F86" s="55">
        <v>0.0098</v>
      </c>
      <c r="G86" s="55"/>
      <c r="H86" s="55">
        <v>2.3172</v>
      </c>
      <c r="I86" s="55">
        <v>-2.6259</v>
      </c>
      <c r="J86" s="59">
        <v>9.0238</v>
      </c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</row>
    <row r="87" ht="12.75" customHeight="1">
      <c r="A87" s="56" t="s">
        <v>51</v>
      </c>
      <c r="B87" s="55">
        <v>10.0</v>
      </c>
      <c r="C87" s="55">
        <v>0.5765</v>
      </c>
      <c r="D87" s="55">
        <v>0.0068</v>
      </c>
      <c r="E87" s="55">
        <v>-0.0202</v>
      </c>
      <c r="F87" s="55">
        <v>0.0165</v>
      </c>
      <c r="G87" s="55"/>
      <c r="H87" s="55">
        <v>3.2087</v>
      </c>
      <c r="I87" s="55">
        <v>-9.8891</v>
      </c>
      <c r="J87" s="59">
        <v>14.7339</v>
      </c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</row>
    <row r="88" ht="12.75" customHeight="1">
      <c r="A88" s="56" t="s">
        <v>53</v>
      </c>
      <c r="B88" s="55">
        <v>15.0</v>
      </c>
      <c r="C88" s="55">
        <v>0.4115</v>
      </c>
      <c r="D88" s="55">
        <v>0.0014</v>
      </c>
      <c r="E88" s="55">
        <v>0.0083</v>
      </c>
      <c r="F88" s="55">
        <v>0.0213</v>
      </c>
      <c r="G88" s="55"/>
      <c r="H88" s="55">
        <v>5.1141</v>
      </c>
      <c r="I88" s="55">
        <v>-15.3263</v>
      </c>
      <c r="J88" s="59">
        <v>18.2507</v>
      </c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</row>
    <row r="89" ht="12.75" customHeight="1">
      <c r="A89" s="56" t="s">
        <v>54</v>
      </c>
      <c r="B89" s="55">
        <v>20.0</v>
      </c>
      <c r="C89" s="55">
        <v>0.3071</v>
      </c>
      <c r="D89" s="55">
        <v>0.0111</v>
      </c>
      <c r="E89" s="55">
        <v>0.0129</v>
      </c>
      <c r="F89" s="55">
        <v>0.0251</v>
      </c>
      <c r="G89" s="55"/>
      <c r="H89" s="55">
        <v>7.6383</v>
      </c>
      <c r="I89" s="55">
        <v>-15.5739</v>
      </c>
      <c r="J89" s="59">
        <v>19.7669</v>
      </c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</row>
    <row r="90" ht="12.75" customHeight="1">
      <c r="A90" s="56"/>
      <c r="B90" s="55"/>
      <c r="C90" s="55"/>
      <c r="D90" s="55"/>
      <c r="E90" s="55"/>
      <c r="F90" s="55"/>
      <c r="G90" s="55"/>
      <c r="H90" s="55"/>
      <c r="I90" s="55"/>
      <c r="J90" s="59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</row>
    <row r="91" ht="12.75" customHeight="1">
      <c r="A91" s="56"/>
      <c r="B91" s="55"/>
      <c r="C91" s="55"/>
      <c r="D91" s="55"/>
      <c r="E91" s="55"/>
      <c r="F91" s="55"/>
      <c r="G91" s="55"/>
      <c r="H91" s="55"/>
      <c r="I91" s="55"/>
      <c r="J91" s="59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</row>
    <row r="92" ht="12.75" customHeight="1">
      <c r="A92" s="38" t="s">
        <v>79</v>
      </c>
      <c r="J92" s="40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</row>
    <row r="93" ht="12.75" customHeight="1">
      <c r="A93" s="50" t="s">
        <v>32</v>
      </c>
      <c r="B93" s="51" t="s">
        <v>33</v>
      </c>
      <c r="C93" s="52" t="s">
        <v>34</v>
      </c>
      <c r="D93" s="52" t="s">
        <v>35</v>
      </c>
      <c r="E93" s="52" t="s">
        <v>36</v>
      </c>
      <c r="F93" s="52" t="s">
        <v>37</v>
      </c>
      <c r="G93" s="52"/>
      <c r="H93" s="52" t="s">
        <v>38</v>
      </c>
      <c r="I93" s="52" t="s">
        <v>39</v>
      </c>
      <c r="J93" s="53" t="s">
        <v>40</v>
      </c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</row>
    <row r="94" ht="12.75" customHeight="1">
      <c r="A94" s="56" t="s">
        <v>42</v>
      </c>
      <c r="B94" s="55">
        <v>1.0</v>
      </c>
      <c r="C94" s="57">
        <v>0.721</v>
      </c>
      <c r="D94" s="57">
        <v>-1.4686</v>
      </c>
      <c r="E94" s="57">
        <v>0.5746</v>
      </c>
      <c r="F94" s="57">
        <v>0.0095</v>
      </c>
      <c r="G94" s="57"/>
      <c r="H94" s="57">
        <v>1.2136</v>
      </c>
      <c r="I94" s="57">
        <v>0.974</v>
      </c>
      <c r="J94" s="58">
        <v>-0.5247</v>
      </c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</row>
    <row r="95" ht="12.75" customHeight="1">
      <c r="A95" s="56" t="s">
        <v>45</v>
      </c>
      <c r="B95" s="55">
        <v>2.0</v>
      </c>
      <c r="C95" s="57">
        <v>1.3115</v>
      </c>
      <c r="D95" s="57">
        <v>-0.336</v>
      </c>
      <c r="E95" s="57">
        <v>-0.2475</v>
      </c>
      <c r="F95" s="57">
        <v>-0.0034</v>
      </c>
      <c r="G95" s="57"/>
      <c r="H95" s="57">
        <v>1.7025</v>
      </c>
      <c r="I95" s="57">
        <v>4.1569</v>
      </c>
      <c r="J95" s="58">
        <v>-0.1232</v>
      </c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</row>
    <row r="96" ht="12.75" customHeight="1">
      <c r="A96" s="56" t="s">
        <v>47</v>
      </c>
      <c r="B96" s="55">
        <v>3.0</v>
      </c>
      <c r="C96" s="57">
        <v>1.0768</v>
      </c>
      <c r="D96" s="57">
        <v>0.0109</v>
      </c>
      <c r="E96" s="57">
        <v>-0.2695</v>
      </c>
      <c r="F96" s="57">
        <v>0.0021</v>
      </c>
      <c r="G96" s="57"/>
      <c r="H96" s="57">
        <v>1.836</v>
      </c>
      <c r="I96" s="57">
        <v>2.8632</v>
      </c>
      <c r="J96" s="58">
        <v>3.522</v>
      </c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</row>
    <row r="97" ht="12.75" customHeight="1">
      <c r="A97" s="56" t="s">
        <v>50</v>
      </c>
      <c r="B97" s="55">
        <v>5.0</v>
      </c>
      <c r="C97" s="57">
        <v>0.7682</v>
      </c>
      <c r="D97" s="57">
        <v>0.0439</v>
      </c>
      <c r="E97" s="57">
        <v>-0.109</v>
      </c>
      <c r="F97" s="57">
        <v>0.0105</v>
      </c>
      <c r="G97" s="57"/>
      <c r="H97" s="57">
        <v>2.1882</v>
      </c>
      <c r="I97" s="57">
        <v>-2.6521</v>
      </c>
      <c r="J97" s="58">
        <v>9.1961</v>
      </c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</row>
    <row r="98" ht="12.75" customHeight="1">
      <c r="A98" s="56" t="s">
        <v>51</v>
      </c>
      <c r="B98" s="55">
        <v>10.0</v>
      </c>
      <c r="C98" s="57">
        <v>0.5769</v>
      </c>
      <c r="D98" s="57">
        <v>0.0176</v>
      </c>
      <c r="E98" s="57">
        <v>0.0038</v>
      </c>
      <c r="F98" s="57">
        <v>0.0165</v>
      </c>
      <c r="G98" s="57"/>
      <c r="H98" s="57">
        <v>2.9682</v>
      </c>
      <c r="I98" s="57">
        <v>-10.3053</v>
      </c>
      <c r="J98" s="58">
        <v>15.3161</v>
      </c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</row>
    <row r="99" ht="12.75" customHeight="1">
      <c r="A99" s="56" t="s">
        <v>53</v>
      </c>
      <c r="B99" s="55">
        <v>15.0</v>
      </c>
      <c r="C99" s="57">
        <v>0.4845</v>
      </c>
      <c r="D99" s="57">
        <v>0.0034</v>
      </c>
      <c r="E99" s="57">
        <v>0.0036</v>
      </c>
      <c r="F99" s="57">
        <v>0.0187</v>
      </c>
      <c r="G99" s="57"/>
      <c r="H99" s="57">
        <v>4.6526</v>
      </c>
      <c r="I99" s="57">
        <v>-16.692</v>
      </c>
      <c r="J99" s="58">
        <v>19.8534</v>
      </c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</row>
    <row r="100" ht="12.75" customHeight="1">
      <c r="A100" s="56" t="s">
        <v>54</v>
      </c>
      <c r="B100" s="55">
        <v>20.0</v>
      </c>
      <c r="C100" s="57">
        <v>0.476</v>
      </c>
      <c r="D100" s="57">
        <v>0.0071</v>
      </c>
      <c r="E100" s="57">
        <v>0.0246</v>
      </c>
      <c r="F100" s="57">
        <v>0.0189</v>
      </c>
      <c r="G100" s="57"/>
      <c r="H100" s="57">
        <v>7.1425</v>
      </c>
      <c r="I100" s="57">
        <v>-18.3021</v>
      </c>
      <c r="J100" s="58">
        <v>22.4168</v>
      </c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</row>
    <row r="101" ht="12.75" customHeight="1">
      <c r="A101" s="93"/>
      <c r="B101" s="62"/>
      <c r="C101" s="62"/>
      <c r="D101" s="62"/>
      <c r="E101" s="62"/>
      <c r="F101" s="62"/>
      <c r="G101" s="62"/>
      <c r="H101" s="62"/>
      <c r="I101" s="62"/>
      <c r="J101" s="94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Y3:AA3"/>
    <mergeCell ref="AD3:AF3"/>
    <mergeCell ref="Y4:AF4"/>
    <mergeCell ref="AH5:AJ5"/>
    <mergeCell ref="AM5:AV5"/>
    <mergeCell ref="A1:J1"/>
    <mergeCell ref="L1:U1"/>
    <mergeCell ref="W1:AF1"/>
    <mergeCell ref="C3:E3"/>
    <mergeCell ref="H3:J3"/>
    <mergeCell ref="N3:P3"/>
    <mergeCell ref="S3:U3"/>
    <mergeCell ref="A4:J4"/>
    <mergeCell ref="N4:U4"/>
    <mergeCell ref="A15:J15"/>
    <mergeCell ref="N15:U15"/>
    <mergeCell ref="Y15:AF15"/>
    <mergeCell ref="AM15:AN15"/>
    <mergeCell ref="A26:J26"/>
    <mergeCell ref="A70:J70"/>
    <mergeCell ref="A81:J81"/>
    <mergeCell ref="A92:J92"/>
    <mergeCell ref="N26:U26"/>
    <mergeCell ref="Y26:AF26"/>
    <mergeCell ref="A37:J37"/>
    <mergeCell ref="N37:U37"/>
    <mergeCell ref="Y37:AF37"/>
    <mergeCell ref="A48:J48"/>
    <mergeCell ref="A59:J59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8" width="10.0"/>
  </cols>
  <sheetData>
    <row r="1" ht="12.75" customHeight="1">
      <c r="A1" s="55" t="s">
        <v>80</v>
      </c>
      <c r="B1" s="55" t="s">
        <v>81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</row>
    <row r="2" ht="12.75" hidden="1" customHeight="1">
      <c r="A2" s="55"/>
      <c r="B2" s="55">
        <v>111.0</v>
      </c>
      <c r="C2" s="55">
        <v>112.0</v>
      </c>
      <c r="D2" s="55">
        <v>113.0</v>
      </c>
      <c r="E2" s="55">
        <v>121.0</v>
      </c>
      <c r="F2" s="55">
        <v>122.0</v>
      </c>
      <c r="G2" s="55">
        <v>123.0</v>
      </c>
      <c r="H2" s="55">
        <v>131.0</v>
      </c>
      <c r="I2" s="55">
        <v>132.0</v>
      </c>
      <c r="J2" s="55">
        <v>133.0</v>
      </c>
      <c r="K2" s="55">
        <v>141.0</v>
      </c>
      <c r="L2" s="55">
        <v>142.0</v>
      </c>
      <c r="M2" s="55">
        <v>143.0</v>
      </c>
      <c r="N2" s="55">
        <v>211.0</v>
      </c>
      <c r="O2" s="55">
        <v>212.0</v>
      </c>
      <c r="P2" s="55">
        <v>213.0</v>
      </c>
      <c r="Q2" s="55">
        <v>221.0</v>
      </c>
      <c r="R2" s="55">
        <v>222.0</v>
      </c>
      <c r="S2" s="55">
        <v>223.0</v>
      </c>
      <c r="T2" s="55">
        <v>231.0</v>
      </c>
      <c r="U2" s="55">
        <v>232.0</v>
      </c>
      <c r="V2" s="55">
        <v>233.0</v>
      </c>
      <c r="W2" s="55">
        <v>241.0</v>
      </c>
      <c r="X2" s="55">
        <v>242.0</v>
      </c>
      <c r="Y2" s="55">
        <v>243.0</v>
      </c>
      <c r="Z2" s="55">
        <v>251.0</v>
      </c>
      <c r="AA2" s="55">
        <v>252.0</v>
      </c>
      <c r="AB2" s="55">
        <v>253.0</v>
      </c>
    </row>
    <row r="3" ht="12.75" customHeight="1">
      <c r="A3" s="39"/>
      <c r="B3" s="38" t="s">
        <v>82</v>
      </c>
      <c r="E3" s="38" t="s">
        <v>83</v>
      </c>
      <c r="H3" s="38" t="s">
        <v>84</v>
      </c>
      <c r="K3" s="38" t="s">
        <v>85</v>
      </c>
      <c r="N3" s="38" t="s">
        <v>86</v>
      </c>
      <c r="Q3" s="38" t="s">
        <v>87</v>
      </c>
      <c r="T3" s="38" t="s">
        <v>88</v>
      </c>
      <c r="W3" s="38" t="s">
        <v>89</v>
      </c>
      <c r="Z3" s="38" t="s">
        <v>90</v>
      </c>
    </row>
    <row r="4" ht="12.75" customHeight="1">
      <c r="A4" s="51" t="s">
        <v>33</v>
      </c>
      <c r="B4" s="95" t="s">
        <v>91</v>
      </c>
      <c r="C4" s="96" t="s">
        <v>92</v>
      </c>
      <c r="D4" s="97" t="s">
        <v>93</v>
      </c>
      <c r="E4" s="95" t="s">
        <v>91</v>
      </c>
      <c r="F4" s="96" t="s">
        <v>92</v>
      </c>
      <c r="G4" s="97" t="s">
        <v>93</v>
      </c>
      <c r="H4" s="95" t="s">
        <v>91</v>
      </c>
      <c r="I4" s="96" t="s">
        <v>92</v>
      </c>
      <c r="J4" s="97" t="s">
        <v>93</v>
      </c>
      <c r="K4" s="95" t="s">
        <v>91</v>
      </c>
      <c r="L4" s="96" t="s">
        <v>92</v>
      </c>
      <c r="M4" s="97" t="s">
        <v>93</v>
      </c>
      <c r="N4" s="95" t="s">
        <v>91</v>
      </c>
      <c r="O4" s="96" t="s">
        <v>92</v>
      </c>
      <c r="P4" s="97" t="s">
        <v>93</v>
      </c>
      <c r="Q4" s="95" t="s">
        <v>91</v>
      </c>
      <c r="R4" s="96" t="s">
        <v>92</v>
      </c>
      <c r="S4" s="97" t="s">
        <v>93</v>
      </c>
      <c r="T4" s="95" t="s">
        <v>91</v>
      </c>
      <c r="U4" s="96" t="s">
        <v>92</v>
      </c>
      <c r="V4" s="97" t="s">
        <v>93</v>
      </c>
      <c r="W4" s="95" t="s">
        <v>91</v>
      </c>
      <c r="X4" s="96" t="s">
        <v>92</v>
      </c>
      <c r="Y4" s="97" t="s">
        <v>93</v>
      </c>
      <c r="Z4" s="95" t="s">
        <v>91</v>
      </c>
      <c r="AA4" s="96" t="s">
        <v>92</v>
      </c>
      <c r="AB4" s="97" t="s">
        <v>93</v>
      </c>
    </row>
    <row r="5" ht="12.75" customHeight="1">
      <c r="A5" s="55">
        <v>0.0</v>
      </c>
      <c r="B5" s="98"/>
      <c r="C5" s="99"/>
      <c r="D5" s="100"/>
      <c r="E5" s="98"/>
      <c r="F5" s="99"/>
      <c r="G5" s="100"/>
      <c r="H5" s="98"/>
      <c r="I5" s="99"/>
      <c r="J5" s="100"/>
      <c r="K5" s="98"/>
      <c r="L5" s="99"/>
      <c r="M5" s="100"/>
      <c r="N5" s="98"/>
      <c r="O5" s="99"/>
      <c r="P5" s="100"/>
      <c r="Q5" s="98"/>
      <c r="R5" s="99"/>
      <c r="S5" s="100"/>
      <c r="T5" s="98"/>
      <c r="U5" s="99"/>
      <c r="V5" s="100"/>
      <c r="W5" s="98"/>
      <c r="X5" s="99"/>
      <c r="Y5" s="100"/>
      <c r="Z5" s="98"/>
      <c r="AA5" s="99"/>
      <c r="AB5" s="100"/>
    </row>
    <row r="6" ht="12.75" customHeight="1">
      <c r="A6" s="55">
        <v>1.0</v>
      </c>
      <c r="B6" s="101">
        <v>-1.3391918682730433</v>
      </c>
      <c r="C6" s="102">
        <v>-1.3205376539073994</v>
      </c>
      <c r="D6" s="103">
        <v>-1.330016661927263</v>
      </c>
      <c r="E6" s="101">
        <v>-1.149542994259372</v>
      </c>
      <c r="F6" s="102">
        <v>-1.128756459416549</v>
      </c>
      <c r="G6" s="103">
        <v>-1.1393153104759235</v>
      </c>
      <c r="H6" s="101">
        <v>-1.1995667190344683</v>
      </c>
      <c r="I6" s="102">
        <v>-1.159057693334963</v>
      </c>
      <c r="J6" s="103">
        <v>-1.1794669380666578</v>
      </c>
      <c r="K6" s="101">
        <v>-1.3008882857309396</v>
      </c>
      <c r="L6" s="102">
        <v>-1.28282828629155</v>
      </c>
      <c r="M6" s="103">
        <v>-1.2920084625948782</v>
      </c>
      <c r="N6" s="101">
        <v>-1.2244024839391032</v>
      </c>
      <c r="O6" s="102">
        <v>-1.23753030934175</v>
      </c>
      <c r="P6" s="103">
        <v>-1.2307700164916384</v>
      </c>
      <c r="Q6" s="101">
        <v>-1.1881811084640668</v>
      </c>
      <c r="R6" s="102">
        <v>-1.1106269288043862</v>
      </c>
      <c r="S6" s="103">
        <v>-1.1491210108255552</v>
      </c>
      <c r="T6" s="101">
        <v>-1.1633364561886397</v>
      </c>
      <c r="U6" s="102">
        <v>-1.1378733283421005</v>
      </c>
      <c r="V6" s="103">
        <v>-1.1507828765224926</v>
      </c>
      <c r="W6" s="101">
        <v>-1.4833929444880147</v>
      </c>
      <c r="X6" s="102">
        <v>-1.3772257268162487</v>
      </c>
      <c r="Y6" s="103">
        <v>-1.4290933741165424</v>
      </c>
      <c r="Z6" s="101">
        <v>-1.2808737879735403</v>
      </c>
      <c r="AA6" s="102">
        <v>-1.2702343228546582</v>
      </c>
      <c r="AB6" s="103">
        <v>-1.2756596114442857</v>
      </c>
    </row>
    <row r="7" ht="12.75" customHeight="1">
      <c r="A7" s="55">
        <v>2.0</v>
      </c>
      <c r="B7" s="101">
        <v>-1.248271370000512</v>
      </c>
      <c r="C7" s="102">
        <v>-1.2060902889860654</v>
      </c>
      <c r="D7" s="103">
        <v>-1.2273209044445137</v>
      </c>
      <c r="E7" s="101">
        <v>-1.052921922913222</v>
      </c>
      <c r="F7" s="102">
        <v>-1.0009991172979613</v>
      </c>
      <c r="G7" s="103">
        <v>-1.0270730854502448</v>
      </c>
      <c r="H7" s="101">
        <v>-1.1377253644533953</v>
      </c>
      <c r="I7" s="102">
        <v>-1.0733530126616093</v>
      </c>
      <c r="J7" s="103">
        <v>-1.1054931620988286</v>
      </c>
      <c r="K7" s="101">
        <v>-1.2215537498283509</v>
      </c>
      <c r="L7" s="102">
        <v>-1.1769512130842383</v>
      </c>
      <c r="M7" s="103">
        <v>-1.199382018993584</v>
      </c>
      <c r="N7" s="101">
        <v>-1.1230471529817474</v>
      </c>
      <c r="O7" s="102">
        <v>-1.1005760900291686</v>
      </c>
      <c r="P7" s="103">
        <v>-1.111984110632724</v>
      </c>
      <c r="Q7" s="101">
        <v>-1.1426712858304264</v>
      </c>
      <c r="R7" s="102">
        <v>-1.0453999629280153</v>
      </c>
      <c r="S7" s="103">
        <v>-1.0933348058002088</v>
      </c>
      <c r="T7" s="101">
        <v>-1.0463868502835159</v>
      </c>
      <c r="U7" s="102">
        <v>-1.0078054280696105</v>
      </c>
      <c r="V7" s="103">
        <v>-1.0272791625090567</v>
      </c>
      <c r="W7" s="101">
        <v>-1.4168729131570437</v>
      </c>
      <c r="X7" s="102">
        <v>-1.2912753803659804</v>
      </c>
      <c r="Y7" s="103">
        <v>-1.3521595311804706</v>
      </c>
      <c r="Z7" s="101">
        <v>-1.1994285555271815</v>
      </c>
      <c r="AA7" s="102">
        <v>-1.1587986927915868</v>
      </c>
      <c r="AB7" s="103">
        <v>-1.1792678283331384</v>
      </c>
    </row>
    <row r="8" ht="12.75" customHeight="1">
      <c r="A8" s="55">
        <v>3.0</v>
      </c>
      <c r="B8" s="101">
        <v>-1.191019866053105</v>
      </c>
      <c r="C8" s="102">
        <v>-1.1415199407859422</v>
      </c>
      <c r="D8" s="103">
        <v>-1.1663695111648762</v>
      </c>
      <c r="E8" s="101">
        <v>-1.011641800202346</v>
      </c>
      <c r="F8" s="102">
        <v>-0.9493238297097</v>
      </c>
      <c r="G8" s="103">
        <v>-0.9805116927315939</v>
      </c>
      <c r="H8" s="101">
        <v>-1.1122189169025767</v>
      </c>
      <c r="I8" s="102">
        <v>-1.039688949985299</v>
      </c>
      <c r="J8" s="103">
        <v>-1.07579766511134</v>
      </c>
      <c r="K8" s="101">
        <v>-1.1859677355284142</v>
      </c>
      <c r="L8" s="102">
        <v>-1.1323859197276216</v>
      </c>
      <c r="M8" s="103">
        <v>-1.1592413135184099</v>
      </c>
      <c r="N8" s="101">
        <v>-1.0763916155281843</v>
      </c>
      <c r="O8" s="102">
        <v>-1.0398150394030004</v>
      </c>
      <c r="P8" s="103">
        <v>-1.0582869252092624</v>
      </c>
      <c r="Q8" s="101">
        <v>-1.1204664319857272</v>
      </c>
      <c r="R8" s="102">
        <v>-1.0161031266207456</v>
      </c>
      <c r="S8" s="103">
        <v>-1.0674114838312492</v>
      </c>
      <c r="T8" s="101">
        <v>-0.9961496362111488</v>
      </c>
      <c r="U8" s="102">
        <v>-0.9526701540449622</v>
      </c>
      <c r="V8" s="103">
        <v>-0.9745854680761824</v>
      </c>
      <c r="W8" s="101">
        <v>-1.3824458803830362</v>
      </c>
      <c r="X8" s="102">
        <v>-1.2510802529977294</v>
      </c>
      <c r="Y8" s="103">
        <v>-1.314634529583259</v>
      </c>
      <c r="Z8" s="101">
        <v>-1.1601037320689203</v>
      </c>
      <c r="AA8" s="102">
        <v>-1.1075442776129736</v>
      </c>
      <c r="AB8" s="103">
        <v>-1.1339041157033591</v>
      </c>
    </row>
    <row r="9" ht="12.75" customHeight="1">
      <c r="A9" s="55">
        <v>4.0</v>
      </c>
      <c r="B9" s="101">
        <v>-1.1495155578742873</v>
      </c>
      <c r="C9" s="102">
        <v>-1.0955047349247578</v>
      </c>
      <c r="D9" s="103">
        <v>-1.122579389082977</v>
      </c>
      <c r="E9" s="101">
        <v>-0.9900409945639296</v>
      </c>
      <c r="F9" s="102">
        <v>-0.9233558390874682</v>
      </c>
      <c r="G9" s="103">
        <v>-0.9566861616391071</v>
      </c>
      <c r="H9" s="101">
        <v>-1.095915405129446</v>
      </c>
      <c r="I9" s="102">
        <v>-1.0182341470351175</v>
      </c>
      <c r="J9" s="103">
        <v>-1.0568390913683008</v>
      </c>
      <c r="K9" s="101">
        <v>-1.162235485562451</v>
      </c>
      <c r="L9" s="102">
        <v>-1.1053871731772904</v>
      </c>
      <c r="M9" s="103">
        <v>-1.133848489507731</v>
      </c>
      <c r="N9" s="101">
        <v>-1.0483131224481017</v>
      </c>
      <c r="O9" s="102">
        <v>-1.0046334008611115</v>
      </c>
      <c r="P9" s="103">
        <v>-1.0266375793312168</v>
      </c>
      <c r="Q9" s="101">
        <v>-1.1064494491943582</v>
      </c>
      <c r="R9" s="102">
        <v>-0.9987500043996397</v>
      </c>
      <c r="S9" s="103">
        <v>-1.0516452658577295</v>
      </c>
      <c r="T9" s="101">
        <v>-0.9677394009637116</v>
      </c>
      <c r="U9" s="102">
        <v>-0.9220865668115743</v>
      </c>
      <c r="V9" s="103">
        <v>-0.9450855773772461</v>
      </c>
      <c r="W9" s="101">
        <v>-1.3597144854110406</v>
      </c>
      <c r="X9" s="102">
        <v>-1.2265311577755469</v>
      </c>
      <c r="Y9" s="103">
        <v>-1.2909394381592718</v>
      </c>
      <c r="Z9" s="101">
        <v>-1.135566159849707</v>
      </c>
      <c r="AA9" s="102">
        <v>-1.0767436947993454</v>
      </c>
      <c r="AB9" s="103">
        <v>-1.1061781300895608</v>
      </c>
    </row>
    <row r="10" ht="12.75" customHeight="1">
      <c r="A10" s="55">
        <v>5.0</v>
      </c>
      <c r="B10" s="101">
        <v>-1.1185632260148939</v>
      </c>
      <c r="C10" s="102">
        <v>-1.061325256602174</v>
      </c>
      <c r="D10" s="103">
        <v>-1.0899897929411233</v>
      </c>
      <c r="E10" s="101">
        <v>-0.9780310480435148</v>
      </c>
      <c r="F10" s="102">
        <v>-0.9087911117777744</v>
      </c>
      <c r="G10" s="103">
        <v>-0.9433727449127896</v>
      </c>
      <c r="H10" s="101">
        <v>-1.0839281949744348</v>
      </c>
      <c r="I10" s="102">
        <v>-1.0034528162299363</v>
      </c>
      <c r="J10" s="103">
        <v>-1.0434107208936003</v>
      </c>
      <c r="K10" s="101">
        <v>-1.144383673499174</v>
      </c>
      <c r="L10" s="102">
        <v>-1.084244439552133</v>
      </c>
      <c r="M10" s="103">
        <v>-1.1143192900977046</v>
      </c>
      <c r="N10" s="101">
        <v>-1.0292629455595335</v>
      </c>
      <c r="O10" s="102">
        <v>-0.9814796675097218</v>
      </c>
      <c r="P10" s="103">
        <v>-1.005518141540678</v>
      </c>
      <c r="Q10" s="101">
        <v>-1.096595555575287</v>
      </c>
      <c r="R10" s="102">
        <v>-0.987135785187098</v>
      </c>
      <c r="S10" s="103">
        <v>-1.040870571612214</v>
      </c>
      <c r="T10" s="101">
        <v>-0.9494788835701552</v>
      </c>
      <c r="U10" s="102">
        <v>-0.9027309485493412</v>
      </c>
      <c r="V10" s="103">
        <v>-0.9262769660757875</v>
      </c>
      <c r="W10" s="101">
        <v>-1.343095215781071</v>
      </c>
      <c r="X10" s="102">
        <v>-1.2095785232792193</v>
      </c>
      <c r="Y10" s="103">
        <v>-1.2741582599497068</v>
      </c>
      <c r="Z10" s="101">
        <v>-1.1183426521790116</v>
      </c>
      <c r="AA10" s="102">
        <v>-1.0557703137725243</v>
      </c>
      <c r="AB10" s="103">
        <v>-1.0870408602371626</v>
      </c>
    </row>
    <row r="11" ht="12.75" customHeight="1">
      <c r="A11" s="55">
        <v>10.0</v>
      </c>
      <c r="B11" s="101">
        <v>-1.0393562968308907</v>
      </c>
      <c r="C11" s="102">
        <v>-0.9786773724073827</v>
      </c>
      <c r="D11" s="103">
        <v>-1.0090525505490437</v>
      </c>
      <c r="E11" s="101">
        <v>-0.9478430756673374</v>
      </c>
      <c r="F11" s="102">
        <v>-0.8742667468274667</v>
      </c>
      <c r="G11" s="103">
        <v>-0.9109759656016303</v>
      </c>
      <c r="H11" s="101">
        <v>-1.047253908043939</v>
      </c>
      <c r="I11" s="102">
        <v>-0.9621027711189192</v>
      </c>
      <c r="J11" s="103">
        <v>-1.0043334640576214</v>
      </c>
      <c r="K11" s="101">
        <v>-1.0968312103313975</v>
      </c>
      <c r="L11" s="102">
        <v>-1.0329081865332934</v>
      </c>
      <c r="M11" s="103">
        <v>-1.0648450322432061</v>
      </c>
      <c r="N11" s="101">
        <v>-0.9836990144879681</v>
      </c>
      <c r="O11" s="102">
        <v>-0.9304026371280921</v>
      </c>
      <c r="P11" s="103">
        <v>-0.9571733425308189</v>
      </c>
      <c r="Q11" s="101">
        <v>-1.0710479766829692</v>
      </c>
      <c r="R11" s="102">
        <v>-0.9601275698337381</v>
      </c>
      <c r="S11" s="103">
        <v>-1.0145804306666857</v>
      </c>
      <c r="T11" s="101">
        <v>-0.9107123855068149</v>
      </c>
      <c r="U11" s="102">
        <v>-0.8634131719023083</v>
      </c>
      <c r="V11" s="103">
        <v>-0.8872426403359286</v>
      </c>
      <c r="W11" s="101">
        <v>-1.2967451336857732</v>
      </c>
      <c r="X11" s="102">
        <v>-1.167808646228288</v>
      </c>
      <c r="Y11" s="103">
        <v>-1.230349615433702</v>
      </c>
      <c r="Z11" s="101">
        <v>-1.0743948523980273</v>
      </c>
      <c r="AA11" s="102">
        <v>-1.0059690881890577</v>
      </c>
      <c r="AB11" s="103">
        <v>-1.0401061476730076</v>
      </c>
    </row>
    <row r="12" ht="12.75" customHeight="1">
      <c r="A12" s="55">
        <v>15.0</v>
      </c>
      <c r="B12" s="101">
        <v>-0.9981031832324391</v>
      </c>
      <c r="C12" s="102">
        <v>-0.9345637878929889</v>
      </c>
      <c r="D12" s="103">
        <v>-0.9663545681462627</v>
      </c>
      <c r="E12" s="101">
        <v>-0.927242945712847</v>
      </c>
      <c r="F12" s="102">
        <v>-0.8527201488025895</v>
      </c>
      <c r="G12" s="103">
        <v>-0.8899031094880889</v>
      </c>
      <c r="H12" s="101">
        <v>-1.0232404683298353</v>
      </c>
      <c r="I12" s="102">
        <v>-0.93688771389348</v>
      </c>
      <c r="J12" s="103">
        <v>-0.9797140682572861</v>
      </c>
      <c r="K12" s="101">
        <v>-1.0631132391187417</v>
      </c>
      <c r="L12" s="102">
        <v>-0.9956258512105295</v>
      </c>
      <c r="M12" s="103">
        <v>-1.029311968945643</v>
      </c>
      <c r="N12" s="101">
        <v>-0.95845256110004</v>
      </c>
      <c r="O12" s="102">
        <v>-0.9054437505889176</v>
      </c>
      <c r="P12" s="103">
        <v>-0.9320808894257256</v>
      </c>
      <c r="Q12" s="101">
        <v>-1.0502865418043261</v>
      </c>
      <c r="R12" s="102">
        <v>-0.9395783838472487</v>
      </c>
      <c r="S12" s="103">
        <v>-0.9939578971262876</v>
      </c>
      <c r="T12" s="101">
        <v>-0.8941562380871718</v>
      </c>
      <c r="U12" s="102">
        <v>-0.8472071781386656</v>
      </c>
      <c r="V12" s="103">
        <v>-0.8708676837180984</v>
      </c>
      <c r="W12" s="101">
        <v>-1.2584276949461242</v>
      </c>
      <c r="X12" s="102">
        <v>-1.1373286585570146</v>
      </c>
      <c r="Y12" s="103">
        <v>-1.1963047021648439</v>
      </c>
      <c r="Z12" s="101">
        <v>-1.046640904616448</v>
      </c>
      <c r="AA12" s="102">
        <v>-0.9778828398588445</v>
      </c>
      <c r="AB12" s="103">
        <v>-1.0121945536850772</v>
      </c>
    </row>
    <row r="13" ht="12.75" customHeight="1">
      <c r="A13" s="55">
        <v>20.0</v>
      </c>
      <c r="B13" s="104">
        <v>-0.9416333856114224</v>
      </c>
      <c r="C13" s="105">
        <v>-0.8857760803976087</v>
      </c>
      <c r="D13" s="106">
        <v>-0.9138222201434257</v>
      </c>
      <c r="E13" s="104">
        <v>-0.8980698073923872</v>
      </c>
      <c r="F13" s="105">
        <v>-0.8220722196830965</v>
      </c>
      <c r="G13" s="106">
        <v>-0.8599928991033128</v>
      </c>
      <c r="H13" s="104">
        <v>-0.9821062749661466</v>
      </c>
      <c r="I13" s="105">
        <v>-0.9014469416092918</v>
      </c>
      <c r="J13" s="106">
        <v>-0.9415637169234314</v>
      </c>
      <c r="K13" s="104">
        <v>-1.0130422551600544</v>
      </c>
      <c r="L13" s="105">
        <v>-0.9449104436400929</v>
      </c>
      <c r="M13" s="106">
        <v>-0.9789341450370054</v>
      </c>
      <c r="N13" s="104">
        <v>-0.9231512670771203</v>
      </c>
      <c r="O13" s="105">
        <v>-0.8735350370491204</v>
      </c>
      <c r="P13" s="106">
        <v>-0.8985080128007928</v>
      </c>
      <c r="Q13" s="104">
        <v>-1.0150860472583132</v>
      </c>
      <c r="R13" s="105">
        <v>-0.9071603139652353</v>
      </c>
      <c r="S13" s="106">
        <v>-0.9602726570812409</v>
      </c>
      <c r="T13" s="104">
        <v>-0.8745004288231203</v>
      </c>
      <c r="U13" s="105">
        <v>-0.8253922500765591</v>
      </c>
      <c r="V13" s="106">
        <v>-0.850128711049871</v>
      </c>
      <c r="W13" s="104">
        <v>-1.202097176737276</v>
      </c>
      <c r="X13" s="105">
        <v>-1.0804886999840153</v>
      </c>
      <c r="Y13" s="106">
        <v>-1.1397670872678705</v>
      </c>
      <c r="Z13" s="104">
        <v>-1.0066773582389617</v>
      </c>
      <c r="AA13" s="105">
        <v>-0.9381058693664397</v>
      </c>
      <c r="AB13" s="106">
        <v>-0.9723468418235381</v>
      </c>
    </row>
    <row r="14" ht="12.75" customHeight="1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</row>
    <row r="15" ht="12.75" customHeight="1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</row>
    <row r="16" ht="12.75" customHeigh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</row>
    <row r="17" ht="12.75" customHeight="1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</row>
    <row r="18" ht="12.75" customHeight="1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</row>
    <row r="19" ht="12.7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</row>
    <row r="20" ht="12.75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</row>
    <row r="21" ht="12.7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</row>
    <row r="22" ht="12.7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</row>
    <row r="23" ht="12.7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</row>
    <row r="24" ht="12.7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</row>
    <row r="25" ht="12.7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</row>
    <row r="26" ht="12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</row>
    <row r="27" ht="12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</row>
    <row r="28" ht="12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</row>
    <row r="29" ht="12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</row>
    <row r="30" ht="12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</row>
    <row r="31" ht="12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</row>
    <row r="32" ht="12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</row>
    <row r="33" ht="12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</row>
    <row r="34" ht="12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</row>
    <row r="35" ht="12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</row>
    <row r="36" ht="12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</row>
    <row r="37" ht="12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</row>
    <row r="38" ht="12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</row>
    <row r="39" ht="12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</row>
    <row r="40" ht="12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</row>
    <row r="41" ht="12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</row>
    <row r="42" ht="12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</row>
    <row r="43" ht="12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</row>
    <row r="44" ht="12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</row>
    <row r="45" ht="12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</row>
    <row r="46" ht="12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</row>
    <row r="47" ht="12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</row>
    <row r="48" ht="12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</row>
    <row r="49" ht="12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</row>
    <row r="50" ht="12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</row>
    <row r="51" ht="12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</row>
    <row r="52" ht="12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</row>
    <row r="53" ht="12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</row>
    <row r="54" ht="12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</row>
    <row r="55" ht="12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</row>
    <row r="56" ht="12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</row>
    <row r="57" ht="12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</row>
    <row r="58" ht="12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</row>
    <row r="59" ht="12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</row>
    <row r="60" ht="12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</row>
    <row r="61" ht="12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</row>
    <row r="62" ht="12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</row>
    <row r="63" ht="12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</row>
    <row r="64" ht="12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</row>
    <row r="65" ht="12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</row>
    <row r="66" ht="12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</row>
    <row r="67" ht="12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</row>
    <row r="68" ht="12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</row>
    <row r="69" ht="12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</row>
    <row r="70" ht="12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</row>
    <row r="71" ht="12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</row>
    <row r="72" ht="12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</row>
    <row r="73" ht="12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</row>
    <row r="74" ht="12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</row>
    <row r="75" ht="12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</row>
    <row r="76" ht="12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</row>
    <row r="77" ht="12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</row>
    <row r="78" ht="12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</row>
    <row r="79" ht="12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</row>
    <row r="80" ht="12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</row>
    <row r="81" ht="12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</row>
    <row r="82" ht="12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</row>
    <row r="83" ht="12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</row>
    <row r="84" ht="12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</row>
    <row r="85" ht="12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</row>
    <row r="86" ht="12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</row>
    <row r="87" ht="12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</row>
    <row r="88" ht="12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</row>
    <row r="89" ht="12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</row>
    <row r="90" ht="12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</row>
    <row r="91" ht="12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</row>
    <row r="92" ht="12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</row>
    <row r="93" ht="12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</row>
    <row r="94" ht="12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</row>
    <row r="95" ht="12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</row>
    <row r="96" ht="12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</row>
    <row r="97" ht="12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</row>
    <row r="98" ht="12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</row>
    <row r="99" ht="12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</row>
    <row r="100" ht="12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W3:Y3"/>
    <mergeCell ref="Z3:AB3"/>
    <mergeCell ref="B3:D3"/>
    <mergeCell ref="E3:G3"/>
    <mergeCell ref="H3:J3"/>
    <mergeCell ref="K3:M3"/>
    <mergeCell ref="N3:P3"/>
    <mergeCell ref="Q3:S3"/>
    <mergeCell ref="T3:V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17" width="14.38"/>
    <col customWidth="1" min="18" max="18" width="12.25"/>
    <col customWidth="1" min="19" max="19" width="24.0"/>
    <col customWidth="1" min="20" max="20" width="19.5"/>
    <col customWidth="1" min="21" max="21" width="3.25"/>
    <col customWidth="1" hidden="1" min="22" max="23" width="16.38"/>
    <col customWidth="1" min="24" max="35" width="14.38"/>
  </cols>
  <sheetData>
    <row r="2" ht="15.0" customHeight="1">
      <c r="B2" s="107" t="s">
        <v>94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ht="33.0" customHeight="1">
      <c r="B3" s="108" t="s">
        <v>95</v>
      </c>
      <c r="C3" s="109" t="s">
        <v>96</v>
      </c>
      <c r="D3" s="109" t="s">
        <v>97</v>
      </c>
      <c r="E3" s="109" t="s">
        <v>98</v>
      </c>
      <c r="F3" s="109"/>
      <c r="G3" s="110"/>
      <c r="H3" s="110"/>
      <c r="I3" s="110" t="s">
        <v>99</v>
      </c>
      <c r="J3" s="110"/>
      <c r="K3" s="109" t="s">
        <v>100</v>
      </c>
      <c r="L3" s="110"/>
      <c r="M3" s="110" t="s">
        <v>101</v>
      </c>
      <c r="N3" s="110"/>
      <c r="O3" s="110" t="s">
        <v>102</v>
      </c>
      <c r="P3" s="110"/>
      <c r="Q3" s="110" t="s">
        <v>103</v>
      </c>
      <c r="R3" s="110" t="s">
        <v>104</v>
      </c>
      <c r="S3" s="109" t="s">
        <v>105</v>
      </c>
      <c r="T3" s="111" t="s">
        <v>106</v>
      </c>
    </row>
    <row r="4" ht="15.0" customHeight="1">
      <c r="B4" s="112">
        <v>0.0</v>
      </c>
      <c r="C4" s="113">
        <v>1.0</v>
      </c>
      <c r="D4" s="114">
        <f>'Defunciones generales'!D21</f>
        <v>725.8805396</v>
      </c>
      <c r="E4" s="114">
        <f>Homicidios!D483</f>
        <v>1.01426982</v>
      </c>
      <c r="F4" s="115">
        <f t="shared" ref="F4:F22" si="1">(D4-E4)/D4</f>
        <v>0.9986027042</v>
      </c>
      <c r="G4" s="114">
        <f>LT!H21</f>
        <v>100000</v>
      </c>
      <c r="H4" s="116">
        <f>1-LT!F21</f>
        <v>0.98716</v>
      </c>
      <c r="I4" s="117">
        <f t="shared" ref="I4:I22" si="2">1-H4</f>
        <v>0.01284</v>
      </c>
      <c r="J4" s="118">
        <f>LT!G21</f>
        <v>0.08</v>
      </c>
      <c r="K4" s="119">
        <f>LT!L21</f>
        <v>73.46</v>
      </c>
      <c r="L4" s="117">
        <f t="shared" ref="L4:L22" si="3">H4^F4</f>
        <v>0.9871778258</v>
      </c>
      <c r="M4" s="120">
        <f t="shared" ref="M4:M22" si="4">1-L4</f>
        <v>0.01282217424</v>
      </c>
      <c r="N4" s="121">
        <v>100000.0</v>
      </c>
      <c r="O4" s="122">
        <f t="shared" ref="O4:O22" si="5">N4*M4</f>
        <v>1282.217424</v>
      </c>
      <c r="P4" s="122">
        <f t="shared" ref="P4:P6" si="6">C4+(F4*(I4/M4)*(J4-C4))</f>
        <v>0.08000828851</v>
      </c>
      <c r="Q4" s="121">
        <f t="shared" ref="Q4:Q21" si="7">(C4*N5)+(P4*O4)</f>
        <v>98820.3706</v>
      </c>
      <c r="R4" s="121">
        <f t="shared" ref="R4:R21" si="8">R5+Q4</f>
        <v>7448886.729</v>
      </c>
      <c r="S4" s="119">
        <f t="shared" ref="S4:S22" si="9">R4/N4</f>
        <v>74.48886729</v>
      </c>
      <c r="T4" s="123">
        <f t="shared" ref="T4:T22" si="10">S4-K4</f>
        <v>1.028867289</v>
      </c>
    </row>
    <row r="5" ht="15.0" customHeight="1">
      <c r="B5" s="112">
        <v>1.0</v>
      </c>
      <c r="C5" s="113">
        <v>4.0</v>
      </c>
      <c r="D5" s="114">
        <f>'Defunciones generales'!D22</f>
        <v>153.8432185</v>
      </c>
      <c r="E5" s="114">
        <f>Homicidios!D484</f>
        <v>2.021671827</v>
      </c>
      <c r="F5" s="115">
        <f t="shared" si="1"/>
        <v>0.9868588824</v>
      </c>
      <c r="G5" s="114">
        <f>LT!H22</f>
        <v>98716</v>
      </c>
      <c r="H5" s="116">
        <f>1-LT!F22</f>
        <v>0.997569</v>
      </c>
      <c r="I5" s="117">
        <f t="shared" si="2"/>
        <v>0.002431</v>
      </c>
      <c r="J5" s="118">
        <f>LT!G22</f>
        <v>1.61</v>
      </c>
      <c r="K5" s="124">
        <f>LT!L22</f>
        <v>73.42</v>
      </c>
      <c r="L5" s="117">
        <f t="shared" si="3"/>
        <v>0.9976009077</v>
      </c>
      <c r="M5" s="120">
        <f t="shared" si="4"/>
        <v>0.002399092295</v>
      </c>
      <c r="N5" s="121">
        <f t="shared" ref="N5:N22" si="11">N4*L4</f>
        <v>98717.78258</v>
      </c>
      <c r="O5" s="122">
        <f t="shared" si="5"/>
        <v>236.8330715</v>
      </c>
      <c r="P5" s="122">
        <f t="shared" si="6"/>
        <v>1.610038206</v>
      </c>
      <c r="Q5" s="121">
        <f t="shared" si="7"/>
        <v>394305.1083</v>
      </c>
      <c r="R5" s="121">
        <f t="shared" si="8"/>
        <v>7350066.358</v>
      </c>
      <c r="S5" s="115">
        <f t="shared" si="9"/>
        <v>74.45534296</v>
      </c>
      <c r="T5" s="123">
        <f t="shared" si="10"/>
        <v>1.035342963</v>
      </c>
      <c r="V5" s="125" t="s">
        <v>107</v>
      </c>
      <c r="W5" s="45"/>
    </row>
    <row r="6" ht="15.0" customHeight="1">
      <c r="B6" s="112">
        <v>5.0</v>
      </c>
      <c r="C6" s="113">
        <v>5.0</v>
      </c>
      <c r="D6" s="114">
        <f>'Defunciones generales'!D23</f>
        <v>83.17848415</v>
      </c>
      <c r="E6" s="114">
        <f>Homicidios!D485</f>
        <v>2.031973547</v>
      </c>
      <c r="F6" s="115">
        <f t="shared" si="1"/>
        <v>0.9755709236</v>
      </c>
      <c r="G6" s="114">
        <f>LT!H23</f>
        <v>98476</v>
      </c>
      <c r="H6" s="116">
        <f>1-LT!F23</f>
        <v>0.998795</v>
      </c>
      <c r="I6" s="117">
        <f t="shared" si="2"/>
        <v>0.001205</v>
      </c>
      <c r="J6" s="118">
        <f>LT!G23</f>
        <v>2.5</v>
      </c>
      <c r="K6" s="124">
        <f>LT!L23</f>
        <v>69.59</v>
      </c>
      <c r="L6" s="117">
        <f t="shared" si="3"/>
        <v>0.9988244197</v>
      </c>
      <c r="M6" s="120">
        <f t="shared" si="4"/>
        <v>0.001175580273</v>
      </c>
      <c r="N6" s="121">
        <f t="shared" si="11"/>
        <v>98480.9495</v>
      </c>
      <c r="O6" s="122">
        <f t="shared" si="5"/>
        <v>115.7722615</v>
      </c>
      <c r="P6" s="122">
        <f t="shared" si="6"/>
        <v>2.500036811</v>
      </c>
      <c r="Q6" s="121">
        <f t="shared" si="7"/>
        <v>492115.3211</v>
      </c>
      <c r="R6" s="121">
        <f t="shared" si="8"/>
        <v>6955761.25</v>
      </c>
      <c r="S6" s="115">
        <f t="shared" si="9"/>
        <v>70.63052585</v>
      </c>
      <c r="T6" s="123">
        <f t="shared" si="10"/>
        <v>1.040525852</v>
      </c>
      <c r="V6" s="126"/>
      <c r="W6" s="40"/>
    </row>
    <row r="7" ht="15.0" customHeight="1">
      <c r="B7" s="112">
        <v>10.0</v>
      </c>
      <c r="C7" s="113">
        <v>5.0</v>
      </c>
      <c r="D7" s="114">
        <f>'Defunciones generales'!D24</f>
        <v>106.2305545</v>
      </c>
      <c r="E7" s="114">
        <f>Homicidios!D486</f>
        <v>7.096454834</v>
      </c>
      <c r="F7" s="115">
        <f t="shared" si="1"/>
        <v>0.9331976109</v>
      </c>
      <c r="G7" s="114">
        <f>LT!H24</f>
        <v>98357</v>
      </c>
      <c r="H7" s="116">
        <f>1-LT!F24</f>
        <v>0.998485</v>
      </c>
      <c r="I7" s="117">
        <f t="shared" si="2"/>
        <v>0.001515</v>
      </c>
      <c r="J7" s="118">
        <f>LT!G24</f>
        <v>2.5</v>
      </c>
      <c r="K7" s="124">
        <f>LT!L24</f>
        <v>64.67</v>
      </c>
      <c r="L7" s="117">
        <f t="shared" si="3"/>
        <v>0.998586134</v>
      </c>
      <c r="M7" s="120">
        <f t="shared" si="4"/>
        <v>0.001413865961</v>
      </c>
      <c r="N7" s="121">
        <f t="shared" si="11"/>
        <v>98365.17724</v>
      </c>
      <c r="O7" s="122">
        <f t="shared" si="5"/>
        <v>139.0751759</v>
      </c>
      <c r="P7" s="117">
        <f t="shared" ref="P7:P20" si="12">(((-5/24)*O6)+((2.5)*O7)+((5/24)*O8))/O7</f>
        <v>2.909508793</v>
      </c>
      <c r="Q7" s="121">
        <f t="shared" si="7"/>
        <v>491535.1508</v>
      </c>
      <c r="R7" s="121">
        <f t="shared" si="8"/>
        <v>6463645.929</v>
      </c>
      <c r="S7" s="115">
        <f t="shared" si="9"/>
        <v>65.71071298</v>
      </c>
      <c r="T7" s="123">
        <f t="shared" si="10"/>
        <v>1.040712978</v>
      </c>
      <c r="V7" s="127"/>
      <c r="W7" s="128"/>
    </row>
    <row r="8" ht="15.0" customHeight="1">
      <c r="B8" s="112">
        <v>15.0</v>
      </c>
      <c r="C8" s="113">
        <v>5.0</v>
      </c>
      <c r="D8" s="114">
        <f>'Defunciones generales'!D25</f>
        <v>362.808336</v>
      </c>
      <c r="E8" s="114">
        <f>Homicidios!D487</f>
        <v>84.74475554</v>
      </c>
      <c r="F8" s="115">
        <f t="shared" si="1"/>
        <v>0.7664200429</v>
      </c>
      <c r="G8" s="114">
        <f>LT!H25</f>
        <v>98208</v>
      </c>
      <c r="H8" s="116">
        <f>1-LT!F25</f>
        <v>0.994834</v>
      </c>
      <c r="I8" s="117">
        <f t="shared" si="2"/>
        <v>0.005166</v>
      </c>
      <c r="J8" s="118">
        <f>LT!G25</f>
        <v>2.5</v>
      </c>
      <c r="K8" s="124">
        <f>LT!L25</f>
        <v>59.77</v>
      </c>
      <c r="L8" s="117">
        <f t="shared" si="3"/>
        <v>0.9960382802</v>
      </c>
      <c r="M8" s="120">
        <f t="shared" si="4"/>
        <v>0.003961719839</v>
      </c>
      <c r="N8" s="121">
        <f t="shared" si="11"/>
        <v>98226.10207</v>
      </c>
      <c r="O8" s="122">
        <f t="shared" si="5"/>
        <v>389.1442972</v>
      </c>
      <c r="P8" s="117">
        <f t="shared" si="12"/>
        <v>2.792995428</v>
      </c>
      <c r="Q8" s="121">
        <f t="shared" si="7"/>
        <v>490271.6671</v>
      </c>
      <c r="R8" s="121">
        <f t="shared" si="8"/>
        <v>5972110.778</v>
      </c>
      <c r="S8" s="115">
        <f t="shared" si="9"/>
        <v>60.79963118</v>
      </c>
      <c r="T8" s="123">
        <f t="shared" si="10"/>
        <v>1.029631181</v>
      </c>
      <c r="V8" s="129" t="s">
        <v>108</v>
      </c>
      <c r="W8" s="129" t="s">
        <v>109</v>
      </c>
    </row>
    <row r="9" ht="15.0" customHeight="1">
      <c r="B9" s="112">
        <v>20.0</v>
      </c>
      <c r="C9" s="113">
        <v>5.0</v>
      </c>
      <c r="D9" s="114">
        <f>'Defunciones generales'!D26</f>
        <v>614.8578115</v>
      </c>
      <c r="E9" s="114">
        <f>Homicidios!D488</f>
        <v>193.7701764</v>
      </c>
      <c r="F9" s="115">
        <f t="shared" si="1"/>
        <v>0.6848536803</v>
      </c>
      <c r="G9" s="114">
        <f>LT!H26</f>
        <v>97701</v>
      </c>
      <c r="H9" s="116">
        <f>1-LT!F26</f>
        <v>0.989773</v>
      </c>
      <c r="I9" s="117">
        <f t="shared" si="2"/>
        <v>0.010227</v>
      </c>
      <c r="J9" s="118">
        <f>LT!G26</f>
        <v>2.5</v>
      </c>
      <c r="K9" s="124">
        <f>LT!L26</f>
        <v>55.06</v>
      </c>
      <c r="L9" s="117">
        <f t="shared" si="3"/>
        <v>0.9929846636</v>
      </c>
      <c r="M9" s="120">
        <f t="shared" si="4"/>
        <v>0.007015336441</v>
      </c>
      <c r="N9" s="121">
        <f t="shared" si="11"/>
        <v>97836.95777</v>
      </c>
      <c r="O9" s="122">
        <f t="shared" si="5"/>
        <v>686.3591752</v>
      </c>
      <c r="P9" s="117">
        <f t="shared" si="12"/>
        <v>2.68029469</v>
      </c>
      <c r="Q9" s="121">
        <f t="shared" si="7"/>
        <v>487592.6378</v>
      </c>
      <c r="R9" s="121">
        <f t="shared" si="8"/>
        <v>5481839.111</v>
      </c>
      <c r="S9" s="115">
        <f t="shared" si="9"/>
        <v>56.03035127</v>
      </c>
      <c r="T9" s="123">
        <f t="shared" si="10"/>
        <v>0.9703512691</v>
      </c>
      <c r="V9" s="130" t="str">
        <f>([1]TV!M53-[1]TV!M71)/[1]TV!J53</f>
        <v>#ERROR!</v>
      </c>
      <c r="W9" s="130">
        <f>(R4-R22)/N4</f>
        <v>71.98311141</v>
      </c>
    </row>
    <row r="10" ht="15.0" customHeight="1">
      <c r="B10" s="112">
        <v>25.0</v>
      </c>
      <c r="C10" s="113">
        <v>5.0</v>
      </c>
      <c r="D10" s="114">
        <f>'Defunciones generales'!D27</f>
        <v>781.2098546</v>
      </c>
      <c r="E10" s="114">
        <f>Homicidios!D489</f>
        <v>218.5631276</v>
      </c>
      <c r="F10" s="115">
        <f t="shared" si="1"/>
        <v>0.7202248202</v>
      </c>
      <c r="G10" s="114">
        <f>LT!H27</f>
        <v>96702</v>
      </c>
      <c r="H10" s="116">
        <f>1-LT!F27</f>
        <v>0.985977</v>
      </c>
      <c r="I10" s="117">
        <f t="shared" si="2"/>
        <v>0.014023</v>
      </c>
      <c r="J10" s="118">
        <f>LT!G27</f>
        <v>2.5</v>
      </c>
      <c r="K10" s="124">
        <f>LT!L27</f>
        <v>50.61</v>
      </c>
      <c r="L10" s="117">
        <f t="shared" si="3"/>
        <v>0.9898803558</v>
      </c>
      <c r="M10" s="120">
        <f t="shared" si="4"/>
        <v>0.01011964416</v>
      </c>
      <c r="N10" s="121">
        <f t="shared" si="11"/>
        <v>97150.59859</v>
      </c>
      <c r="O10" s="122">
        <f t="shared" si="5"/>
        <v>983.1294881</v>
      </c>
      <c r="P10" s="117">
        <f t="shared" si="12"/>
        <v>2.58401922</v>
      </c>
      <c r="Q10" s="121">
        <f t="shared" si="7"/>
        <v>483377.771</v>
      </c>
      <c r="R10" s="121">
        <f t="shared" si="8"/>
        <v>4994246.473</v>
      </c>
      <c r="S10" s="115">
        <f t="shared" si="9"/>
        <v>51.40726403</v>
      </c>
      <c r="T10" s="123">
        <f t="shared" si="10"/>
        <v>0.797264035</v>
      </c>
      <c r="V10" s="131" t="s">
        <v>110</v>
      </c>
      <c r="W10" s="130" t="str">
        <f>W9-V9</f>
        <v>#ERROR!</v>
      </c>
    </row>
    <row r="11" ht="15.0" customHeight="1">
      <c r="B11" s="112">
        <v>30.0</v>
      </c>
      <c r="C11" s="113">
        <v>5.0</v>
      </c>
      <c r="D11" s="114">
        <f>'Defunciones generales'!D28</f>
        <v>794.2326475</v>
      </c>
      <c r="E11" s="114">
        <f>Homicidios!D490</f>
        <v>193.7083661</v>
      </c>
      <c r="F11" s="115">
        <f t="shared" si="1"/>
        <v>0.7561062659</v>
      </c>
      <c r="G11" s="114">
        <f>LT!H28</f>
        <v>95346</v>
      </c>
      <c r="H11" s="116">
        <f>1-LT!F28</f>
        <v>0.985135</v>
      </c>
      <c r="I11" s="117">
        <f t="shared" si="2"/>
        <v>0.014865</v>
      </c>
      <c r="J11" s="118">
        <f>LT!G28</f>
        <v>2.5</v>
      </c>
      <c r="K11" s="124">
        <f>LT!L28</f>
        <v>46.29</v>
      </c>
      <c r="L11" s="117">
        <f t="shared" si="3"/>
        <v>0.9887399794</v>
      </c>
      <c r="M11" s="120">
        <f t="shared" si="4"/>
        <v>0.01126002061</v>
      </c>
      <c r="N11" s="121">
        <f t="shared" si="11"/>
        <v>96167.46911</v>
      </c>
      <c r="O11" s="122">
        <f t="shared" si="5"/>
        <v>1082.847684</v>
      </c>
      <c r="P11" s="117">
        <f t="shared" si="12"/>
        <v>2.567030214</v>
      </c>
      <c r="Q11" s="121">
        <f t="shared" si="7"/>
        <v>478202.8098</v>
      </c>
      <c r="R11" s="121">
        <f t="shared" si="8"/>
        <v>4510868.702</v>
      </c>
      <c r="S11" s="115">
        <f t="shared" si="9"/>
        <v>46.90638887</v>
      </c>
      <c r="T11" s="123">
        <f t="shared" si="10"/>
        <v>0.6163888651</v>
      </c>
    </row>
    <row r="12" ht="15.0" customHeight="1">
      <c r="B12" s="112">
        <v>35.0</v>
      </c>
      <c r="C12" s="113">
        <v>5.0</v>
      </c>
      <c r="D12" s="114">
        <f>'Defunciones generales'!D29</f>
        <v>901.8367472</v>
      </c>
      <c r="E12" s="114">
        <f>Homicidios!D491</f>
        <v>165.3255669</v>
      </c>
      <c r="F12" s="115">
        <f t="shared" si="1"/>
        <v>0.8166790526</v>
      </c>
      <c r="G12" s="114">
        <f>LT!H29</f>
        <v>93928</v>
      </c>
      <c r="H12" s="116">
        <f>1-LT!F29</f>
        <v>0.98288</v>
      </c>
      <c r="I12" s="117">
        <f t="shared" si="2"/>
        <v>0.01712</v>
      </c>
      <c r="J12" s="118">
        <f>LT!G29</f>
        <v>2.5</v>
      </c>
      <c r="K12" s="124">
        <f>LT!L29</f>
        <v>41.95</v>
      </c>
      <c r="L12" s="117">
        <f t="shared" si="3"/>
        <v>0.9859963648</v>
      </c>
      <c r="M12" s="120">
        <f t="shared" si="4"/>
        <v>0.01400363516</v>
      </c>
      <c r="N12" s="121">
        <f t="shared" si="11"/>
        <v>95084.62142</v>
      </c>
      <c r="O12" s="122">
        <f t="shared" si="5"/>
        <v>1331.530348</v>
      </c>
      <c r="P12" s="117">
        <f t="shared" si="12"/>
        <v>2.598762931</v>
      </c>
      <c r="Q12" s="121">
        <f t="shared" si="7"/>
        <v>472225.7871</v>
      </c>
      <c r="R12" s="121">
        <f t="shared" si="8"/>
        <v>4032665.892</v>
      </c>
      <c r="S12" s="115">
        <f t="shared" si="9"/>
        <v>42.41133668</v>
      </c>
      <c r="T12" s="123">
        <f t="shared" si="10"/>
        <v>0.46133668</v>
      </c>
    </row>
    <row r="13" ht="15.0" customHeight="1">
      <c r="B13" s="112">
        <v>40.0</v>
      </c>
      <c r="C13" s="113">
        <v>5.0</v>
      </c>
      <c r="D13" s="114">
        <f>'Defunciones generales'!D30</f>
        <v>1058.825424</v>
      </c>
      <c r="E13" s="114">
        <f>Homicidios!D492</f>
        <v>138.9790027</v>
      </c>
      <c r="F13" s="115">
        <f t="shared" si="1"/>
        <v>0.8687422878</v>
      </c>
      <c r="G13" s="114">
        <f>LT!H30</f>
        <v>92320</v>
      </c>
      <c r="H13" s="116">
        <f>1-LT!F30</f>
        <v>0.978984</v>
      </c>
      <c r="I13" s="117">
        <f t="shared" si="2"/>
        <v>0.021016</v>
      </c>
      <c r="J13" s="118">
        <f>LT!G30</f>
        <v>2.5</v>
      </c>
      <c r="K13" s="124">
        <f>LT!L30</f>
        <v>37.64</v>
      </c>
      <c r="L13" s="117">
        <f t="shared" si="3"/>
        <v>0.9817171285</v>
      </c>
      <c r="M13" s="120">
        <f t="shared" si="4"/>
        <v>0.0182828715</v>
      </c>
      <c r="N13" s="121">
        <f t="shared" si="11"/>
        <v>93753.09107</v>
      </c>
      <c r="O13" s="122">
        <f t="shared" si="5"/>
        <v>1714.075717</v>
      </c>
      <c r="P13" s="117">
        <f t="shared" si="12"/>
        <v>2.622957118</v>
      </c>
      <c r="Q13" s="121">
        <f t="shared" si="7"/>
        <v>464691.0239</v>
      </c>
      <c r="R13" s="121">
        <f t="shared" si="8"/>
        <v>3560440.105</v>
      </c>
      <c r="S13" s="115">
        <f t="shared" si="9"/>
        <v>37.97677564</v>
      </c>
      <c r="T13" s="123">
        <f t="shared" si="10"/>
        <v>0.3367756385</v>
      </c>
    </row>
    <row r="14" ht="15.0" customHeight="1">
      <c r="B14" s="112">
        <v>45.0</v>
      </c>
      <c r="C14" s="113">
        <v>5.0</v>
      </c>
      <c r="D14" s="114">
        <f>'Defunciones generales'!D31</f>
        <v>1346.442361</v>
      </c>
      <c r="E14" s="114">
        <f>Homicidios!D493</f>
        <v>113.0859341</v>
      </c>
      <c r="F14" s="115">
        <f t="shared" si="1"/>
        <v>0.916011307</v>
      </c>
      <c r="G14" s="114">
        <f>LT!H31</f>
        <v>90380</v>
      </c>
      <c r="H14" s="116">
        <f>1-LT!F31</f>
        <v>0.97224</v>
      </c>
      <c r="I14" s="117">
        <f t="shared" si="2"/>
        <v>0.02776</v>
      </c>
      <c r="J14" s="118">
        <f>LT!G31</f>
        <v>2.5</v>
      </c>
      <c r="K14" s="124">
        <f>LT!L31</f>
        <v>33.39</v>
      </c>
      <c r="L14" s="117">
        <f t="shared" si="3"/>
        <v>0.9745415808</v>
      </c>
      <c r="M14" s="120">
        <f t="shared" si="4"/>
        <v>0.02545841917</v>
      </c>
      <c r="N14" s="121">
        <f t="shared" si="11"/>
        <v>92039.01536</v>
      </c>
      <c r="O14" s="122">
        <f t="shared" si="5"/>
        <v>2343.167833</v>
      </c>
      <c r="P14" s="117">
        <f t="shared" si="12"/>
        <v>2.638715553</v>
      </c>
      <c r="Q14" s="121">
        <f t="shared" si="7"/>
        <v>454662.191</v>
      </c>
      <c r="R14" s="121">
        <f t="shared" si="8"/>
        <v>3095749.081</v>
      </c>
      <c r="S14" s="115">
        <f t="shared" si="9"/>
        <v>33.63518253</v>
      </c>
      <c r="T14" s="123">
        <f t="shared" si="10"/>
        <v>0.245182528</v>
      </c>
    </row>
    <row r="15" ht="15.0" customHeight="1">
      <c r="B15" s="112">
        <v>50.0</v>
      </c>
      <c r="C15" s="113">
        <v>5.0</v>
      </c>
      <c r="D15" s="114">
        <f>'Defunciones generales'!D32</f>
        <v>1748.343154</v>
      </c>
      <c r="E15" s="114">
        <f>Homicidios!D494</f>
        <v>78.60419411</v>
      </c>
      <c r="F15" s="115">
        <f t="shared" si="1"/>
        <v>0.9550407516</v>
      </c>
      <c r="G15" s="114">
        <f>LT!H32</f>
        <v>87871</v>
      </c>
      <c r="H15" s="116">
        <f>1-LT!F32</f>
        <v>0.961811</v>
      </c>
      <c r="I15" s="117">
        <f t="shared" si="2"/>
        <v>0.038189</v>
      </c>
      <c r="J15" s="118">
        <f>LT!G32</f>
        <v>2.5</v>
      </c>
      <c r="K15" s="124">
        <f>LT!L32</f>
        <v>29.28</v>
      </c>
      <c r="L15" s="117">
        <f t="shared" si="3"/>
        <v>0.9634962136</v>
      </c>
      <c r="M15" s="120">
        <f t="shared" si="4"/>
        <v>0.0365037864</v>
      </c>
      <c r="N15" s="121">
        <f t="shared" si="11"/>
        <v>89695.84753</v>
      </c>
      <c r="O15" s="122">
        <f t="shared" si="5"/>
        <v>3274.238059</v>
      </c>
      <c r="P15" s="117">
        <f t="shared" si="12"/>
        <v>2.647299232</v>
      </c>
      <c r="Q15" s="121">
        <f t="shared" si="7"/>
        <v>440775.9352</v>
      </c>
      <c r="R15" s="121">
        <f t="shared" si="8"/>
        <v>2641086.89</v>
      </c>
      <c r="S15" s="115">
        <f t="shared" si="9"/>
        <v>29.44491817</v>
      </c>
      <c r="T15" s="123">
        <f t="shared" si="10"/>
        <v>0.1649181664</v>
      </c>
    </row>
    <row r="16" ht="15.0" customHeight="1">
      <c r="B16" s="112">
        <v>55.0</v>
      </c>
      <c r="C16" s="113">
        <v>5.0</v>
      </c>
      <c r="D16" s="114">
        <f>'Defunciones generales'!D33</f>
        <v>2144.209306</v>
      </c>
      <c r="E16" s="114">
        <f>Homicidios!D495</f>
        <v>46.1132208</v>
      </c>
      <c r="F16" s="115">
        <f t="shared" si="1"/>
        <v>0.9784940674</v>
      </c>
      <c r="G16" s="114">
        <f>LT!H33</f>
        <v>84515</v>
      </c>
      <c r="H16" s="116">
        <f>1-LT!F33</f>
        <v>0.944948</v>
      </c>
      <c r="I16" s="117">
        <f t="shared" si="2"/>
        <v>0.055052</v>
      </c>
      <c r="J16" s="118">
        <f>LT!G33</f>
        <v>2.5</v>
      </c>
      <c r="K16" s="124">
        <f>LT!L33</f>
        <v>25.34</v>
      </c>
      <c r="L16" s="117">
        <f t="shared" si="3"/>
        <v>0.9460994412</v>
      </c>
      <c r="M16" s="120">
        <f t="shared" si="4"/>
        <v>0.05390055876</v>
      </c>
      <c r="N16" s="121">
        <f t="shared" si="11"/>
        <v>86421.60947</v>
      </c>
      <c r="O16" s="122">
        <f t="shared" si="5"/>
        <v>4658.173039</v>
      </c>
      <c r="P16" s="117">
        <f t="shared" si="12"/>
        <v>2.631049337</v>
      </c>
      <c r="Q16" s="121">
        <f t="shared" si="7"/>
        <v>421073.0652</v>
      </c>
      <c r="R16" s="121">
        <f t="shared" si="8"/>
        <v>2200310.955</v>
      </c>
      <c r="S16" s="115">
        <f t="shared" si="9"/>
        <v>25.46019414</v>
      </c>
      <c r="T16" s="123">
        <f t="shared" si="10"/>
        <v>0.1201941414</v>
      </c>
    </row>
    <row r="17" ht="15.0" customHeight="1">
      <c r="B17" s="112">
        <v>60.0</v>
      </c>
      <c r="C17" s="113">
        <v>5.0</v>
      </c>
      <c r="D17" s="114">
        <f>'Defunciones generales'!D34</f>
        <v>2553.095516</v>
      </c>
      <c r="E17" s="114">
        <f>Homicidios!D496</f>
        <v>37.0294332</v>
      </c>
      <c r="F17" s="115">
        <f t="shared" si="1"/>
        <v>0.9854962601</v>
      </c>
      <c r="G17" s="114">
        <f>LT!H34</f>
        <v>79863</v>
      </c>
      <c r="H17" s="116">
        <f>1-LT!F34</f>
        <v>0.923045</v>
      </c>
      <c r="I17" s="117">
        <f t="shared" si="2"/>
        <v>0.076955</v>
      </c>
      <c r="J17" s="118">
        <f>LT!G34</f>
        <v>2.5</v>
      </c>
      <c r="K17" s="124">
        <f>LT!L34</f>
        <v>21.67</v>
      </c>
      <c r="L17" s="117">
        <f t="shared" si="3"/>
        <v>0.9241176659</v>
      </c>
      <c r="M17" s="120">
        <f t="shared" si="4"/>
        <v>0.0758823341</v>
      </c>
      <c r="N17" s="121">
        <f t="shared" si="11"/>
        <v>81763.43643</v>
      </c>
      <c r="O17" s="122">
        <f t="shared" si="5"/>
        <v>6204.4004</v>
      </c>
      <c r="P17" s="117">
        <f t="shared" si="12"/>
        <v>2.594714929</v>
      </c>
      <c r="Q17" s="121">
        <f t="shared" si="7"/>
        <v>393893.8305</v>
      </c>
      <c r="R17" s="121">
        <f t="shared" si="8"/>
        <v>1779237.89</v>
      </c>
      <c r="S17" s="115">
        <f t="shared" si="9"/>
        <v>21.76080125</v>
      </c>
      <c r="T17" s="123">
        <f t="shared" si="10"/>
        <v>0.09080125233</v>
      </c>
    </row>
    <row r="18" ht="15.0" customHeight="1">
      <c r="B18" s="112">
        <v>65.0</v>
      </c>
      <c r="C18" s="113">
        <v>5.0</v>
      </c>
      <c r="D18" s="114">
        <f>'Defunciones generales'!D35</f>
        <v>2678.38624</v>
      </c>
      <c r="E18" s="114">
        <f>Homicidios!D497</f>
        <v>22.30363432</v>
      </c>
      <c r="F18" s="115">
        <f t="shared" si="1"/>
        <v>0.9916727341</v>
      </c>
      <c r="G18" s="114">
        <f>LT!H35</f>
        <v>73717</v>
      </c>
      <c r="H18" s="116">
        <f>1-LT!F35</f>
        <v>0.900231</v>
      </c>
      <c r="I18" s="117">
        <f t="shared" si="2"/>
        <v>0.099769</v>
      </c>
      <c r="J18" s="118">
        <f>LT!G35</f>
        <v>2.5</v>
      </c>
      <c r="K18" s="124">
        <f>LT!L35</f>
        <v>18.27</v>
      </c>
      <c r="L18" s="117">
        <f t="shared" si="3"/>
        <v>0.9010192522</v>
      </c>
      <c r="M18" s="120">
        <f t="shared" si="4"/>
        <v>0.09898074775</v>
      </c>
      <c r="N18" s="121">
        <f t="shared" si="11"/>
        <v>75559.03603</v>
      </c>
      <c r="O18" s="122">
        <f t="shared" si="5"/>
        <v>7478.889885</v>
      </c>
      <c r="P18" s="117">
        <f t="shared" si="12"/>
        <v>2.59540916</v>
      </c>
      <c r="Q18" s="121">
        <f t="shared" si="7"/>
        <v>359811.51</v>
      </c>
      <c r="R18" s="121">
        <f t="shared" si="8"/>
        <v>1385344.059</v>
      </c>
      <c r="S18" s="115">
        <f t="shared" si="9"/>
        <v>18.3345915</v>
      </c>
      <c r="T18" s="123">
        <f t="shared" si="10"/>
        <v>0.06459149508</v>
      </c>
    </row>
    <row r="19" ht="15.0" customHeight="1">
      <c r="B19" s="112">
        <v>70.0</v>
      </c>
      <c r="C19" s="113">
        <v>5.0</v>
      </c>
      <c r="D19" s="114">
        <f>'Defunciones generales'!D36</f>
        <v>2880.28495</v>
      </c>
      <c r="E19" s="114">
        <f>Homicidios!D498</f>
        <v>18.26029067</v>
      </c>
      <c r="F19" s="115">
        <f t="shared" si="1"/>
        <v>0.9936602486</v>
      </c>
      <c r="G19" s="114">
        <f>LT!H36</f>
        <v>66362</v>
      </c>
      <c r="H19" s="116">
        <f>1-LT!F36</f>
        <v>0.857722</v>
      </c>
      <c r="I19" s="117">
        <f t="shared" si="2"/>
        <v>0.142278</v>
      </c>
      <c r="J19" s="118">
        <f>LT!G36</f>
        <v>2.5</v>
      </c>
      <c r="K19" s="124">
        <f>LT!L36</f>
        <v>15.02</v>
      </c>
      <c r="L19" s="117">
        <f t="shared" si="3"/>
        <v>0.8585569653</v>
      </c>
      <c r="M19" s="120">
        <f t="shared" si="4"/>
        <v>0.1414430347</v>
      </c>
      <c r="N19" s="121">
        <f t="shared" si="11"/>
        <v>68080.14614</v>
      </c>
      <c r="O19" s="122">
        <f t="shared" si="5"/>
        <v>9629.462476</v>
      </c>
      <c r="P19" s="117">
        <f t="shared" si="12"/>
        <v>2.602486738</v>
      </c>
      <c r="Q19" s="121">
        <f t="shared" si="7"/>
        <v>317313.9667</v>
      </c>
      <c r="R19" s="121">
        <f t="shared" si="8"/>
        <v>1025532.549</v>
      </c>
      <c r="S19" s="115">
        <f t="shared" si="9"/>
        <v>15.06360675</v>
      </c>
      <c r="T19" s="123">
        <f t="shared" si="10"/>
        <v>0.04360675491</v>
      </c>
    </row>
    <row r="20" ht="15.0" customHeight="1">
      <c r="B20" s="112">
        <v>75.0</v>
      </c>
      <c r="C20" s="113">
        <v>5.0</v>
      </c>
      <c r="D20" s="114">
        <f>'Defunciones generales'!D37</f>
        <v>3149.889902</v>
      </c>
      <c r="E20" s="114">
        <f>Homicidios!D499</f>
        <v>6.591036878</v>
      </c>
      <c r="F20" s="115">
        <f t="shared" si="1"/>
        <v>0.9979075342</v>
      </c>
      <c r="G20" s="114">
        <f>LT!H37</f>
        <v>56920</v>
      </c>
      <c r="H20" s="116">
        <f>1-LT!F37</f>
        <v>0.790615</v>
      </c>
      <c r="I20" s="117">
        <f t="shared" si="2"/>
        <v>0.209385</v>
      </c>
      <c r="J20" s="118">
        <f>LT!G37</f>
        <v>2.5</v>
      </c>
      <c r="K20" s="124">
        <f>LT!L37</f>
        <v>12.09</v>
      </c>
      <c r="L20" s="117">
        <f t="shared" si="3"/>
        <v>0.7910037719</v>
      </c>
      <c r="M20" s="120">
        <f t="shared" si="4"/>
        <v>0.2089962281</v>
      </c>
      <c r="N20" s="121">
        <f t="shared" si="11"/>
        <v>58450.68367</v>
      </c>
      <c r="O20" s="122">
        <f t="shared" si="5"/>
        <v>12215.97242</v>
      </c>
      <c r="P20" s="117">
        <f t="shared" si="12"/>
        <v>2.583166664</v>
      </c>
      <c r="Q20" s="121">
        <f t="shared" si="7"/>
        <v>262729.449</v>
      </c>
      <c r="R20" s="121">
        <f t="shared" si="8"/>
        <v>708218.5826</v>
      </c>
      <c r="S20" s="115">
        <f t="shared" si="9"/>
        <v>12.11651495</v>
      </c>
      <c r="T20" s="123">
        <f t="shared" si="10"/>
        <v>0.02651495184</v>
      </c>
    </row>
    <row r="21" ht="15.0" customHeight="1">
      <c r="B21" s="112">
        <v>80.0</v>
      </c>
      <c r="C21" s="113">
        <v>5.0</v>
      </c>
      <c r="D21" s="114">
        <f>'Defunciones generales'!D38</f>
        <v>3125.3408</v>
      </c>
      <c r="E21" s="114">
        <f>Homicidios!D500</f>
        <v>2.53052369</v>
      </c>
      <c r="F21" s="115">
        <f t="shared" si="1"/>
        <v>0.9991903207</v>
      </c>
      <c r="G21" s="114">
        <f>LT!H38</f>
        <v>45002</v>
      </c>
      <c r="H21" s="116">
        <f>1-LT!F38</f>
        <v>0.686042</v>
      </c>
      <c r="I21" s="117">
        <f t="shared" si="2"/>
        <v>0.313958</v>
      </c>
      <c r="J21" s="118">
        <f>LT!G38</f>
        <v>2.5</v>
      </c>
      <c r="K21" s="124">
        <f>LT!L38</f>
        <v>9.63</v>
      </c>
      <c r="L21" s="117">
        <f t="shared" si="3"/>
        <v>0.6862513437</v>
      </c>
      <c r="M21" s="120">
        <f t="shared" si="4"/>
        <v>0.3137486563</v>
      </c>
      <c r="N21" s="121">
        <f t="shared" si="11"/>
        <v>46234.71125</v>
      </c>
      <c r="O21" s="122">
        <f t="shared" si="5"/>
        <v>14506.07853</v>
      </c>
      <c r="P21" s="122">
        <f>C21+(F21*(I21/M21)*(J21-C21))</f>
        <v>2.500357465</v>
      </c>
      <c r="Q21" s="121">
        <f t="shared" si="7"/>
        <v>194913.5453</v>
      </c>
      <c r="R21" s="121">
        <f t="shared" si="8"/>
        <v>445489.1336</v>
      </c>
      <c r="S21" s="115">
        <f t="shared" si="9"/>
        <v>9.635382629</v>
      </c>
      <c r="T21" s="123">
        <f t="shared" si="10"/>
        <v>0.005382629264</v>
      </c>
    </row>
    <row r="22" ht="15.0" customHeight="1">
      <c r="B22" s="132">
        <v>85.0</v>
      </c>
      <c r="C22" s="133">
        <v>5.0</v>
      </c>
      <c r="D22" s="134">
        <f>'Defunciones generales'!D39</f>
        <v>4561.698257</v>
      </c>
      <c r="E22" s="114">
        <f>Homicidios!D501</f>
        <v>3.551661324</v>
      </c>
      <c r="F22" s="135">
        <f t="shared" si="1"/>
        <v>0.9992214169</v>
      </c>
      <c r="G22" s="114">
        <f>LT!H39</f>
        <v>30873</v>
      </c>
      <c r="H22" s="116">
        <f>1-LT!F39</f>
        <v>0</v>
      </c>
      <c r="I22" s="136">
        <f t="shared" si="2"/>
        <v>1</v>
      </c>
      <c r="J22" s="118" t="str">
        <f>LT!G39</f>
        <v>NA</v>
      </c>
      <c r="K22" s="124">
        <f>LT!L39</f>
        <v>7.9</v>
      </c>
      <c r="L22" s="136">
        <f t="shared" si="3"/>
        <v>0</v>
      </c>
      <c r="M22" s="137">
        <f t="shared" si="4"/>
        <v>1</v>
      </c>
      <c r="N22" s="138">
        <f t="shared" si="11"/>
        <v>31728.63272</v>
      </c>
      <c r="O22" s="139">
        <f t="shared" si="5"/>
        <v>31728.63272</v>
      </c>
      <c r="P22" s="136">
        <f>K22/F22</f>
        <v>7.906155599</v>
      </c>
      <c r="Q22" s="140">
        <f>N22/LT!E39</f>
        <v>250575.5883</v>
      </c>
      <c r="R22" s="138">
        <f>Q22</f>
        <v>250575.5883</v>
      </c>
      <c r="S22" s="135">
        <f t="shared" si="9"/>
        <v>7.897459387</v>
      </c>
      <c r="T22" s="141">
        <f t="shared" si="10"/>
        <v>-0.002540612685</v>
      </c>
    </row>
    <row r="23" ht="15.75" customHeight="1"/>
    <row r="24" ht="15.0" customHeight="1">
      <c r="B24" s="142" t="s">
        <v>111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</row>
    <row r="25" ht="15.75" customHeight="1">
      <c r="C25" s="143"/>
      <c r="D25" s="143"/>
      <c r="E25" s="143"/>
      <c r="F25" s="143"/>
    </row>
    <row r="26" ht="33.0" customHeight="1">
      <c r="B26" s="108" t="s">
        <v>95</v>
      </c>
      <c r="C26" s="109" t="s">
        <v>96</v>
      </c>
      <c r="D26" s="109" t="s">
        <v>97</v>
      </c>
      <c r="E26" s="109" t="s">
        <v>98</v>
      </c>
      <c r="F26" s="109"/>
      <c r="G26" s="110"/>
      <c r="H26" s="110"/>
      <c r="I26" s="110" t="s">
        <v>99</v>
      </c>
      <c r="J26" s="110"/>
      <c r="K26" s="109" t="s">
        <v>100</v>
      </c>
      <c r="L26" s="110"/>
      <c r="M26" s="110" t="s">
        <v>101</v>
      </c>
      <c r="N26" s="110"/>
      <c r="O26" s="110" t="s">
        <v>102</v>
      </c>
      <c r="P26" s="110"/>
      <c r="Q26" s="110" t="s">
        <v>103</v>
      </c>
      <c r="R26" s="110" t="s">
        <v>104</v>
      </c>
      <c r="S26" s="109" t="s">
        <v>105</v>
      </c>
      <c r="T26" s="111" t="s">
        <v>106</v>
      </c>
      <c r="AA26" s="144" t="s">
        <v>112</v>
      </c>
      <c r="AB26" s="144" t="s">
        <v>113</v>
      </c>
    </row>
    <row r="27" ht="15.75" customHeight="1">
      <c r="B27" s="112">
        <v>0.0</v>
      </c>
      <c r="C27" s="113">
        <v>1.0</v>
      </c>
      <c r="D27" s="145">
        <f>'Defunciones generales'!D78</f>
        <v>611.3889159</v>
      </c>
      <c r="E27" s="145">
        <f>Homicidios!D1056</f>
        <v>0.5077913443</v>
      </c>
      <c r="F27" s="115">
        <f t="shared" ref="F27:F45" si="13">(D27-E27)/D27</f>
        <v>0.9991694463</v>
      </c>
      <c r="G27" s="145">
        <f>LT!H78</f>
        <v>100000</v>
      </c>
      <c r="H27" s="146">
        <f>1-LT!F78</f>
        <v>0.988955</v>
      </c>
      <c r="I27" s="117">
        <f t="shared" ref="I27:I45" si="14">1-H27</f>
        <v>0.011045</v>
      </c>
      <c r="J27" s="147">
        <f>LT!G78</f>
        <v>0.08</v>
      </c>
      <c r="K27" s="148">
        <f>LT!L78</f>
        <v>79.11</v>
      </c>
      <c r="L27" s="117">
        <f t="shared" ref="L27:L45" si="15">H27^F27</f>
        <v>0.9889641227</v>
      </c>
      <c r="M27" s="120">
        <f t="shared" ref="M27:M45" si="16">1-L27</f>
        <v>0.01103587734</v>
      </c>
      <c r="N27" s="121">
        <v>100000.0</v>
      </c>
      <c r="O27" s="122">
        <f t="shared" ref="O27:O45" si="17">N27*M27</f>
        <v>1103.587734</v>
      </c>
      <c r="P27" s="122">
        <f t="shared" ref="P27:P29" si="18">C27+(F27*(I27/M27)*(J27-C27))</f>
        <v>0.08000423541</v>
      </c>
      <c r="Q27" s="121">
        <f t="shared" ref="Q27:Q44" si="19">(C27*N28)+(P27*O27)</f>
        <v>98984.70396</v>
      </c>
      <c r="R27" s="121">
        <f t="shared" ref="R27:R44" si="20">R28+Q27</f>
        <v>7928350.066</v>
      </c>
      <c r="S27" s="149">
        <f t="shared" ref="S27:S45" si="21">R27/N27</f>
        <v>79.28350066</v>
      </c>
      <c r="T27" s="123">
        <f t="shared" ref="T27:T45" si="22">S27-K27</f>
        <v>0.1735006619</v>
      </c>
      <c r="Z27" s="150" t="s">
        <v>114</v>
      </c>
      <c r="AA27" s="130">
        <f>S4</f>
        <v>74.48886729</v>
      </c>
      <c r="AB27" s="130">
        <f>S27</f>
        <v>79.28350066</v>
      </c>
    </row>
    <row r="28" ht="15.75" customHeight="1">
      <c r="B28" s="112">
        <v>1.0</v>
      </c>
      <c r="C28" s="113">
        <v>4.0</v>
      </c>
      <c r="D28" s="145">
        <f>'Defunciones generales'!D79</f>
        <v>121.5306415</v>
      </c>
      <c r="E28" s="145">
        <f>Homicidios!D1057</f>
        <v>0.5077913443</v>
      </c>
      <c r="F28" s="115">
        <f t="shared" si="13"/>
        <v>0.9958217011</v>
      </c>
      <c r="G28" s="145">
        <f>LT!H79</f>
        <v>98895</v>
      </c>
      <c r="H28" s="146">
        <f>1-LT!F79</f>
        <v>0.998026</v>
      </c>
      <c r="I28" s="117">
        <f t="shared" si="14"/>
        <v>0.001974</v>
      </c>
      <c r="J28" s="147">
        <f>LT!G79</f>
        <v>1.51</v>
      </c>
      <c r="K28" s="148">
        <f>LT!L79</f>
        <v>78.99</v>
      </c>
      <c r="L28" s="117">
        <f t="shared" si="15"/>
        <v>0.9980342398</v>
      </c>
      <c r="M28" s="120">
        <f t="shared" si="16"/>
        <v>0.00196576015</v>
      </c>
      <c r="N28" s="121">
        <f t="shared" ref="N28:N45" si="23">N27*L27</f>
        <v>98896.41227</v>
      </c>
      <c r="O28" s="122">
        <f t="shared" si="17"/>
        <v>194.4066262</v>
      </c>
      <c r="P28" s="122">
        <f t="shared" si="18"/>
        <v>1.510010275</v>
      </c>
      <c r="Q28" s="121">
        <f t="shared" si="19"/>
        <v>395101.5786</v>
      </c>
      <c r="R28" s="121">
        <f t="shared" si="20"/>
        <v>7829365.362</v>
      </c>
      <c r="S28" s="115">
        <f t="shared" si="21"/>
        <v>79.16733462</v>
      </c>
      <c r="T28" s="123">
        <f t="shared" si="22"/>
        <v>0.1773346165</v>
      </c>
      <c r="U28" s="151"/>
      <c r="V28" s="125" t="s">
        <v>115</v>
      </c>
      <c r="W28" s="45"/>
      <c r="Z28" s="150" t="s">
        <v>116</v>
      </c>
      <c r="AA28" s="130">
        <f>K4</f>
        <v>73.46</v>
      </c>
      <c r="AB28" s="130">
        <f>K27</f>
        <v>79.11</v>
      </c>
    </row>
    <row r="29" ht="15.75" customHeight="1">
      <c r="B29" s="112">
        <v>5.0</v>
      </c>
      <c r="C29" s="113">
        <v>5.0</v>
      </c>
      <c r="D29" s="145">
        <f>'Defunciones generales'!D80</f>
        <v>78.51978029</v>
      </c>
      <c r="E29" s="145">
        <f>Homicidios!D1058</f>
        <v>1.523374033</v>
      </c>
      <c r="F29" s="115">
        <f t="shared" si="13"/>
        <v>0.98059885</v>
      </c>
      <c r="G29" s="145">
        <f>LT!H80</f>
        <v>98700</v>
      </c>
      <c r="H29" s="146">
        <f>1-LT!F80</f>
        <v>0.998837</v>
      </c>
      <c r="I29" s="117">
        <f t="shared" si="14"/>
        <v>0.001163</v>
      </c>
      <c r="J29" s="147">
        <f>LT!G80</f>
        <v>2.5</v>
      </c>
      <c r="K29" s="148">
        <f>LT!L80</f>
        <v>75.15</v>
      </c>
      <c r="L29" s="117">
        <f t="shared" si="15"/>
        <v>0.9988595507</v>
      </c>
      <c r="M29" s="120">
        <f t="shared" si="16"/>
        <v>0.001140449334</v>
      </c>
      <c r="N29" s="121">
        <f t="shared" si="23"/>
        <v>98702.00564</v>
      </c>
      <c r="O29" s="122">
        <f t="shared" si="17"/>
        <v>112.5646366</v>
      </c>
      <c r="P29" s="122">
        <f t="shared" si="18"/>
        <v>2.500028215</v>
      </c>
      <c r="Q29" s="121">
        <f t="shared" si="19"/>
        <v>493228.6198</v>
      </c>
      <c r="R29" s="121">
        <f t="shared" si="20"/>
        <v>7434263.784</v>
      </c>
      <c r="S29" s="115">
        <f t="shared" si="21"/>
        <v>75.32029097</v>
      </c>
      <c r="T29" s="123">
        <f t="shared" si="22"/>
        <v>0.1702909656</v>
      </c>
      <c r="U29" s="151"/>
      <c r="V29" s="126"/>
      <c r="W29" s="40"/>
      <c r="AA29" s="152">
        <f t="shared" ref="AA29:AB29" si="24">AA27-AA28</f>
        <v>1.028867289</v>
      </c>
      <c r="AB29" s="152">
        <f t="shared" si="24"/>
        <v>0.1735006619</v>
      </c>
    </row>
    <row r="30" ht="15.75" customHeight="1">
      <c r="B30" s="112">
        <v>10.0</v>
      </c>
      <c r="C30" s="113">
        <v>5.0</v>
      </c>
      <c r="D30" s="145">
        <f>'Defunciones generales'!D81</f>
        <v>80.02033843</v>
      </c>
      <c r="E30" s="145">
        <f>Homicidios!D1059</f>
        <v>2.507791344</v>
      </c>
      <c r="F30" s="115">
        <f t="shared" si="13"/>
        <v>0.9686605756</v>
      </c>
      <c r="G30" s="145">
        <f>LT!H81</f>
        <v>98585</v>
      </c>
      <c r="H30" s="146">
        <f>1-LT!F81</f>
        <v>0.998824</v>
      </c>
      <c r="I30" s="117">
        <f t="shared" si="14"/>
        <v>0.001176</v>
      </c>
      <c r="J30" s="147">
        <f>LT!G81</f>
        <v>2.5</v>
      </c>
      <c r="K30" s="148">
        <f>LT!L81</f>
        <v>70.23</v>
      </c>
      <c r="L30" s="117">
        <f t="shared" si="15"/>
        <v>0.9988608342</v>
      </c>
      <c r="M30" s="120">
        <f t="shared" si="16"/>
        <v>0.001139165837</v>
      </c>
      <c r="N30" s="121">
        <f t="shared" si="23"/>
        <v>98589.441</v>
      </c>
      <c r="O30" s="122">
        <f t="shared" si="17"/>
        <v>112.3097231</v>
      </c>
      <c r="P30" s="117">
        <f t="shared" ref="P30:P43" si="25">(((-5/24)*O29)+((2.5)*O30)+((5/24)*O31))/O30</f>
        <v>2.622377436</v>
      </c>
      <c r="Q30" s="121">
        <f t="shared" si="19"/>
        <v>492680.1749</v>
      </c>
      <c r="R30" s="121">
        <f t="shared" si="20"/>
        <v>6941035.164</v>
      </c>
      <c r="S30" s="115">
        <f t="shared" si="21"/>
        <v>70.40343361</v>
      </c>
      <c r="T30" s="123">
        <f t="shared" si="22"/>
        <v>0.1734336057</v>
      </c>
      <c r="U30" s="151"/>
      <c r="V30" s="127"/>
      <c r="W30" s="128"/>
    </row>
    <row r="31" ht="15.75" customHeight="1">
      <c r="B31" s="112">
        <v>15.0</v>
      </c>
      <c r="C31" s="113">
        <v>5.0</v>
      </c>
      <c r="D31" s="145">
        <f>'Defunciones generales'!D82</f>
        <v>137.0346174</v>
      </c>
      <c r="E31" s="145">
        <f>Homicidios!D1060</f>
        <v>11.5701221</v>
      </c>
      <c r="F31" s="115">
        <f t="shared" si="13"/>
        <v>0.9155678885</v>
      </c>
      <c r="G31" s="145">
        <f>LT!H82</f>
        <v>98470</v>
      </c>
      <c r="H31" s="146">
        <f>1-LT!F82</f>
        <v>0.99802</v>
      </c>
      <c r="I31" s="117">
        <f t="shared" si="14"/>
        <v>0.00198</v>
      </c>
      <c r="J31" s="147">
        <f>LT!G82</f>
        <v>2.5</v>
      </c>
      <c r="K31" s="148">
        <f>LT!L82</f>
        <v>65.31</v>
      </c>
      <c r="L31" s="117">
        <f t="shared" si="15"/>
        <v>0.9981870239</v>
      </c>
      <c r="M31" s="120">
        <f t="shared" si="16"/>
        <v>0.001812976058</v>
      </c>
      <c r="N31" s="121">
        <f t="shared" si="23"/>
        <v>98477.13128</v>
      </c>
      <c r="O31" s="122">
        <f t="shared" si="17"/>
        <v>178.5366812</v>
      </c>
      <c r="P31" s="117">
        <f t="shared" si="25"/>
        <v>2.656928214</v>
      </c>
      <c r="Q31" s="121">
        <f t="shared" si="19"/>
        <v>491967.3321</v>
      </c>
      <c r="R31" s="121">
        <f t="shared" si="20"/>
        <v>6448354.989</v>
      </c>
      <c r="S31" s="115">
        <f t="shared" si="21"/>
        <v>65.48073553</v>
      </c>
      <c r="T31" s="123">
        <f t="shared" si="22"/>
        <v>0.170735529</v>
      </c>
      <c r="U31" s="144"/>
      <c r="V31" s="129" t="s">
        <v>108</v>
      </c>
      <c r="W31" s="129" t="s">
        <v>109</v>
      </c>
    </row>
    <row r="32" ht="15.75" customHeight="1">
      <c r="B32" s="112">
        <v>20.0</v>
      </c>
      <c r="C32" s="113">
        <v>5.0</v>
      </c>
      <c r="D32" s="145">
        <f>'Defunciones generales'!D83</f>
        <v>178.0455359</v>
      </c>
      <c r="E32" s="145">
        <f>Homicidios!D1061</f>
        <v>21.17140957</v>
      </c>
      <c r="F32" s="115">
        <f t="shared" si="13"/>
        <v>0.8810899163</v>
      </c>
      <c r="G32" s="145">
        <f>LT!H83</f>
        <v>98275</v>
      </c>
      <c r="H32" s="146">
        <f>1-LT!F83</f>
        <v>0.997151</v>
      </c>
      <c r="I32" s="117">
        <f t="shared" si="14"/>
        <v>0.002849</v>
      </c>
      <c r="J32" s="147">
        <f>LT!G83</f>
        <v>2.5</v>
      </c>
      <c r="K32" s="148">
        <f>LT!L83</f>
        <v>60.43</v>
      </c>
      <c r="L32" s="117">
        <f t="shared" si="15"/>
        <v>0.9974893492</v>
      </c>
      <c r="M32" s="120">
        <f t="shared" si="16"/>
        <v>0.002510650825</v>
      </c>
      <c r="N32" s="121">
        <f t="shared" si="23"/>
        <v>98298.5946</v>
      </c>
      <c r="O32" s="122">
        <f t="shared" si="17"/>
        <v>246.7934476</v>
      </c>
      <c r="P32" s="117">
        <f t="shared" si="25"/>
        <v>2.611208515</v>
      </c>
      <c r="Q32" s="121">
        <f t="shared" si="19"/>
        <v>490903.4349</v>
      </c>
      <c r="R32" s="121">
        <f t="shared" si="20"/>
        <v>5956387.657</v>
      </c>
      <c r="S32" s="115">
        <f t="shared" si="21"/>
        <v>60.59484046</v>
      </c>
      <c r="T32" s="123">
        <f t="shared" si="22"/>
        <v>0.164840457</v>
      </c>
      <c r="U32" s="152"/>
      <c r="V32" s="130" t="str">
        <f>([1]TV!M29-[1]TV!M47)/[1]TV!J29</f>
        <v>#ERROR!</v>
      </c>
      <c r="W32" s="130">
        <f>(R27-R45)/N27</f>
        <v>75.85189124</v>
      </c>
      <c r="AH32" s="153">
        <f> LN(M22)</f>
        <v>0</v>
      </c>
    </row>
    <row r="33" ht="15.75" customHeight="1">
      <c r="B33" s="112">
        <v>25.0</v>
      </c>
      <c r="C33" s="113">
        <v>5.0</v>
      </c>
      <c r="D33" s="145">
        <f>'Defunciones generales'!D84</f>
        <v>225.556445</v>
      </c>
      <c r="E33" s="145">
        <f>Homicidios!D1062</f>
        <v>26.67140957</v>
      </c>
      <c r="F33" s="115">
        <f t="shared" si="13"/>
        <v>0.8817528376</v>
      </c>
      <c r="G33" s="145">
        <f>LT!H84</f>
        <v>97995</v>
      </c>
      <c r="H33" s="146">
        <f>1-LT!F84</f>
        <v>0.996412</v>
      </c>
      <c r="I33" s="117">
        <f t="shared" si="14"/>
        <v>0.003588</v>
      </c>
      <c r="J33" s="147">
        <f>LT!G84</f>
        <v>2.5</v>
      </c>
      <c r="K33" s="148">
        <f>LT!L84</f>
        <v>55.6</v>
      </c>
      <c r="L33" s="117">
        <f t="shared" si="15"/>
        <v>0.9968355988</v>
      </c>
      <c r="M33" s="120">
        <f t="shared" si="16"/>
        <v>0.00316440122</v>
      </c>
      <c r="N33" s="121">
        <f t="shared" si="23"/>
        <v>98051.80115</v>
      </c>
      <c r="O33" s="122">
        <f t="shared" si="17"/>
        <v>310.2752392</v>
      </c>
      <c r="P33" s="117">
        <f t="shared" si="25"/>
        <v>2.632523901</v>
      </c>
      <c r="Q33" s="121">
        <f t="shared" si="19"/>
        <v>489524.4365</v>
      </c>
      <c r="R33" s="121">
        <f t="shared" si="20"/>
        <v>5465484.222</v>
      </c>
      <c r="S33" s="115">
        <f t="shared" si="21"/>
        <v>55.74078352</v>
      </c>
      <c r="T33" s="123">
        <f t="shared" si="22"/>
        <v>0.1407835224</v>
      </c>
      <c r="V33" s="131" t="s">
        <v>110</v>
      </c>
      <c r="W33" s="130" t="str">
        <f>W32-V32</f>
        <v>#ERROR!</v>
      </c>
    </row>
    <row r="34" ht="15.75" customHeight="1">
      <c r="B34" s="112">
        <v>30.0</v>
      </c>
      <c r="C34" s="113">
        <v>5.0</v>
      </c>
      <c r="D34" s="145">
        <f>'Defunciones generales'!D85</f>
        <v>299.5761774</v>
      </c>
      <c r="E34" s="145">
        <f>Homicidios!D1063</f>
        <v>20.1402442</v>
      </c>
      <c r="F34" s="115">
        <f t="shared" si="13"/>
        <v>0.9327708753</v>
      </c>
      <c r="G34" s="145">
        <f>LT!H85</f>
        <v>97643</v>
      </c>
      <c r="H34" s="146">
        <f>1-LT!F85</f>
        <v>0.995129</v>
      </c>
      <c r="I34" s="117">
        <f t="shared" si="14"/>
        <v>0.004871</v>
      </c>
      <c r="J34" s="147">
        <f>LT!G85</f>
        <v>2.5</v>
      </c>
      <c r="K34" s="148">
        <f>LT!L85</f>
        <v>50.79</v>
      </c>
      <c r="L34" s="117">
        <f t="shared" si="15"/>
        <v>0.9954557278</v>
      </c>
      <c r="M34" s="120">
        <f t="shared" si="16"/>
        <v>0.004544272167</v>
      </c>
      <c r="N34" s="121">
        <f t="shared" si="23"/>
        <v>97741.52591</v>
      </c>
      <c r="O34" s="122">
        <f t="shared" si="17"/>
        <v>444.1640958</v>
      </c>
      <c r="P34" s="117">
        <f t="shared" si="25"/>
        <v>2.631416046</v>
      </c>
      <c r="Q34" s="121">
        <f t="shared" si="19"/>
        <v>487655.5896</v>
      </c>
      <c r="R34" s="121">
        <f t="shared" si="20"/>
        <v>4975959.785</v>
      </c>
      <c r="S34" s="115">
        <f t="shared" si="21"/>
        <v>50.90937285</v>
      </c>
      <c r="T34" s="123">
        <f t="shared" si="22"/>
        <v>0.1193728482</v>
      </c>
    </row>
    <row r="35" ht="15.75" customHeight="1">
      <c r="B35" s="112">
        <v>35.0</v>
      </c>
      <c r="C35" s="113">
        <v>5.0</v>
      </c>
      <c r="D35" s="145">
        <f>'Defunciones generales'!D86</f>
        <v>383.7506925</v>
      </c>
      <c r="E35" s="145">
        <f>Homicidios!D1064</f>
        <v>17.17741355</v>
      </c>
      <c r="F35" s="115">
        <f t="shared" si="13"/>
        <v>0.9552380911</v>
      </c>
      <c r="G35" s="145">
        <f>LT!H86</f>
        <v>97167</v>
      </c>
      <c r="H35" s="146">
        <f>1-LT!F86</f>
        <v>0.993648</v>
      </c>
      <c r="I35" s="117">
        <f t="shared" si="14"/>
        <v>0.006352</v>
      </c>
      <c r="J35" s="147">
        <f>LT!G86</f>
        <v>2.5</v>
      </c>
      <c r="K35" s="148">
        <f>LT!L86</f>
        <v>46.03</v>
      </c>
      <c r="L35" s="117">
        <f t="shared" si="15"/>
        <v>0.9939314631</v>
      </c>
      <c r="M35" s="120">
        <f t="shared" si="16"/>
        <v>0.006068536872</v>
      </c>
      <c r="N35" s="121">
        <f t="shared" si="23"/>
        <v>97297.36182</v>
      </c>
      <c r="O35" s="122">
        <f t="shared" si="17"/>
        <v>590.4526278</v>
      </c>
      <c r="P35" s="117">
        <f t="shared" si="25"/>
        <v>2.652336303</v>
      </c>
      <c r="Q35" s="121">
        <f t="shared" si="19"/>
        <v>485100.6249</v>
      </c>
      <c r="R35" s="121">
        <f t="shared" si="20"/>
        <v>4488304.196</v>
      </c>
      <c r="S35" s="115">
        <f t="shared" si="21"/>
        <v>46.12976253</v>
      </c>
      <c r="T35" s="123">
        <f t="shared" si="22"/>
        <v>0.09976253431</v>
      </c>
    </row>
    <row r="36" ht="15.75" customHeight="1">
      <c r="B36" s="112">
        <v>40.0</v>
      </c>
      <c r="C36" s="113">
        <v>5.0</v>
      </c>
      <c r="D36" s="145">
        <f>'Defunciones generales'!D87</f>
        <v>545.1389799</v>
      </c>
      <c r="E36" s="145">
        <f>Homicidios!D1065</f>
        <v>18.10128748</v>
      </c>
      <c r="F36" s="115">
        <f t="shared" si="13"/>
        <v>0.966795096</v>
      </c>
      <c r="G36" s="145">
        <f>LT!H87</f>
        <v>96550</v>
      </c>
      <c r="H36" s="146">
        <f>1-LT!F87</f>
        <v>0.990633</v>
      </c>
      <c r="I36" s="117">
        <f t="shared" si="14"/>
        <v>0.009367</v>
      </c>
      <c r="J36" s="147">
        <f>LT!G87</f>
        <v>2.5</v>
      </c>
      <c r="K36" s="148">
        <f>LT!L87</f>
        <v>41.31</v>
      </c>
      <c r="L36" s="117">
        <f t="shared" si="15"/>
        <v>0.9909426174</v>
      </c>
      <c r="M36" s="120">
        <f t="shared" si="16"/>
        <v>0.00905738257</v>
      </c>
      <c r="N36" s="121">
        <f t="shared" si="23"/>
        <v>96706.90919</v>
      </c>
      <c r="O36" s="122">
        <f t="shared" si="17"/>
        <v>875.9114737</v>
      </c>
      <c r="P36" s="117">
        <f t="shared" si="25"/>
        <v>2.69752192</v>
      </c>
      <c r="Q36" s="121">
        <f t="shared" si="19"/>
        <v>481517.779</v>
      </c>
      <c r="R36" s="121">
        <f t="shared" si="20"/>
        <v>4003203.571</v>
      </c>
      <c r="S36" s="115">
        <f t="shared" si="21"/>
        <v>41.39521782</v>
      </c>
      <c r="T36" s="123">
        <f t="shared" si="22"/>
        <v>0.08521782373</v>
      </c>
    </row>
    <row r="37" ht="15.75" customHeight="1">
      <c r="B37" s="112">
        <v>45.0</v>
      </c>
      <c r="C37" s="113">
        <v>5.0</v>
      </c>
      <c r="D37" s="145">
        <f>'Defunciones generales'!D88</f>
        <v>822.7070183</v>
      </c>
      <c r="E37" s="145">
        <f>Homicidios!D1066</f>
        <v>8.562330754</v>
      </c>
      <c r="F37" s="115">
        <f t="shared" si="13"/>
        <v>0.9895924909</v>
      </c>
      <c r="G37" s="145">
        <f>LT!H88</f>
        <v>95646</v>
      </c>
      <c r="H37" s="146">
        <f>1-LT!F88</f>
        <v>0.985018</v>
      </c>
      <c r="I37" s="117">
        <f t="shared" si="14"/>
        <v>0.014982</v>
      </c>
      <c r="J37" s="147">
        <f>LT!G88</f>
        <v>2.5</v>
      </c>
      <c r="K37" s="148">
        <f>LT!L88</f>
        <v>36.67</v>
      </c>
      <c r="L37" s="117">
        <f t="shared" si="15"/>
        <v>0.9851727635</v>
      </c>
      <c r="M37" s="120">
        <f t="shared" si="16"/>
        <v>0.01482723646</v>
      </c>
      <c r="N37" s="121">
        <f t="shared" si="23"/>
        <v>95830.99771</v>
      </c>
      <c r="O37" s="122">
        <f t="shared" si="17"/>
        <v>1420.908863</v>
      </c>
      <c r="P37" s="117">
        <f t="shared" si="25"/>
        <v>2.659890295</v>
      </c>
      <c r="Q37" s="121">
        <f t="shared" si="19"/>
        <v>475829.906</v>
      </c>
      <c r="R37" s="121">
        <f t="shared" si="20"/>
        <v>3521685.792</v>
      </c>
      <c r="S37" s="115">
        <f t="shared" si="21"/>
        <v>36.74892129</v>
      </c>
      <c r="T37" s="123">
        <f t="shared" si="22"/>
        <v>0.07892128771</v>
      </c>
    </row>
    <row r="38" ht="15.75" customHeight="1">
      <c r="B38" s="112">
        <v>50.0</v>
      </c>
      <c r="C38" s="113">
        <v>5.0</v>
      </c>
      <c r="D38" s="145">
        <f>'Defunciones generales'!D89</f>
        <v>1087.275571</v>
      </c>
      <c r="E38" s="145">
        <f>Homicidios!D1067</f>
        <v>7.570122099</v>
      </c>
      <c r="F38" s="115">
        <f t="shared" si="13"/>
        <v>0.9930375313</v>
      </c>
      <c r="G38" s="145">
        <f>LT!H89</f>
        <v>94213</v>
      </c>
      <c r="H38" s="146">
        <f>1-LT!F89</f>
        <v>0.979027</v>
      </c>
      <c r="I38" s="117">
        <f t="shared" si="14"/>
        <v>0.020973</v>
      </c>
      <c r="J38" s="147">
        <f>LT!G89</f>
        <v>2.5</v>
      </c>
      <c r="K38" s="148">
        <f>LT!L89</f>
        <v>32.19</v>
      </c>
      <c r="L38" s="117">
        <f t="shared" si="15"/>
        <v>0.9791714924</v>
      </c>
      <c r="M38" s="120">
        <f t="shared" si="16"/>
        <v>0.02082850758</v>
      </c>
      <c r="N38" s="121">
        <f t="shared" si="23"/>
        <v>94410.08885</v>
      </c>
      <c r="O38" s="122">
        <f t="shared" si="17"/>
        <v>1966.421251</v>
      </c>
      <c r="P38" s="117">
        <f t="shared" si="25"/>
        <v>2.691853044</v>
      </c>
      <c r="Q38" s="121">
        <f t="shared" si="19"/>
        <v>467511.655</v>
      </c>
      <c r="R38" s="121">
        <f t="shared" si="20"/>
        <v>3045855.886</v>
      </c>
      <c r="S38" s="115">
        <f t="shared" si="21"/>
        <v>32.26197457</v>
      </c>
      <c r="T38" s="123">
        <f t="shared" si="22"/>
        <v>0.07197457318</v>
      </c>
    </row>
    <row r="39" ht="15.75" customHeight="1">
      <c r="B39" s="112">
        <v>55.0</v>
      </c>
      <c r="C39" s="113">
        <v>5.0</v>
      </c>
      <c r="D39" s="145">
        <f>'Defunciones generales'!D90</f>
        <v>1517.883426</v>
      </c>
      <c r="E39" s="145">
        <f>Homicidios!D1068</f>
        <v>9.077913443</v>
      </c>
      <c r="F39" s="115">
        <f t="shared" si="13"/>
        <v>0.9940193606</v>
      </c>
      <c r="G39" s="145">
        <f>LT!H90</f>
        <v>92237</v>
      </c>
      <c r="H39" s="146">
        <f>1-LT!F90</f>
        <v>0.964834</v>
      </c>
      <c r="I39" s="117">
        <f t="shared" si="14"/>
        <v>0.035166</v>
      </c>
      <c r="J39" s="147">
        <f>LT!G90</f>
        <v>2.5</v>
      </c>
      <c r="K39" s="148">
        <f>LT!L90</f>
        <v>27.83</v>
      </c>
      <c r="L39" s="117">
        <f t="shared" si="15"/>
        <v>0.9650405952</v>
      </c>
      <c r="M39" s="120">
        <f t="shared" si="16"/>
        <v>0.03495940482</v>
      </c>
      <c r="N39" s="121">
        <f t="shared" si="23"/>
        <v>92443.6676</v>
      </c>
      <c r="O39" s="122">
        <f t="shared" si="17"/>
        <v>3231.775598</v>
      </c>
      <c r="P39" s="117">
        <f t="shared" si="25"/>
        <v>2.672652296</v>
      </c>
      <c r="Q39" s="121">
        <f t="shared" si="19"/>
        <v>454696.8725</v>
      </c>
      <c r="R39" s="121">
        <f t="shared" si="20"/>
        <v>2578344.231</v>
      </c>
      <c r="S39" s="115">
        <f t="shared" si="21"/>
        <v>27.89097726</v>
      </c>
      <c r="T39" s="123">
        <f t="shared" si="22"/>
        <v>0.06097726086</v>
      </c>
    </row>
    <row r="40" ht="15.75" customHeight="1">
      <c r="B40" s="112">
        <v>60.0</v>
      </c>
      <c r="C40" s="113">
        <v>5.0</v>
      </c>
      <c r="D40" s="145">
        <f>'Defunciones generales'!D91</f>
        <v>1931.984929</v>
      </c>
      <c r="E40" s="145">
        <f>Homicidios!D1069</f>
        <v>1.5</v>
      </c>
      <c r="F40" s="115">
        <f t="shared" si="13"/>
        <v>0.9992235964</v>
      </c>
      <c r="G40" s="145">
        <f>LT!H91</f>
        <v>88993</v>
      </c>
      <c r="H40" s="146">
        <f>1-LT!F91</f>
        <v>0.947897</v>
      </c>
      <c r="I40" s="117">
        <f t="shared" si="14"/>
        <v>0.052103</v>
      </c>
      <c r="J40" s="147">
        <f>LT!G91</f>
        <v>2.5</v>
      </c>
      <c r="K40" s="148">
        <f>LT!L91</f>
        <v>23.75</v>
      </c>
      <c r="L40" s="117">
        <f t="shared" si="15"/>
        <v>0.9479363811</v>
      </c>
      <c r="M40" s="120">
        <f t="shared" si="16"/>
        <v>0.05206361888</v>
      </c>
      <c r="N40" s="121">
        <f t="shared" si="23"/>
        <v>89211.892</v>
      </c>
      <c r="O40" s="122">
        <f t="shared" si="17"/>
        <v>4644.693945</v>
      </c>
      <c r="P40" s="117">
        <f t="shared" si="25"/>
        <v>2.638399299</v>
      </c>
      <c r="Q40" s="121">
        <f t="shared" si="19"/>
        <v>435090.5475</v>
      </c>
      <c r="R40" s="121">
        <f t="shared" si="20"/>
        <v>2123647.358</v>
      </c>
      <c r="S40" s="115">
        <f t="shared" si="21"/>
        <v>23.80453223</v>
      </c>
      <c r="T40" s="123">
        <f t="shared" si="22"/>
        <v>0.05453223009</v>
      </c>
    </row>
    <row r="41" ht="15.75" customHeight="1">
      <c r="B41" s="112">
        <v>65.0</v>
      </c>
      <c r="C41" s="113">
        <v>5.0</v>
      </c>
      <c r="D41" s="145">
        <f>'Defunciones generales'!D92</f>
        <v>2251.066594</v>
      </c>
      <c r="E41" s="145">
        <f>Homicidios!D1070</f>
        <v>5.538956722</v>
      </c>
      <c r="F41" s="115">
        <f t="shared" si="13"/>
        <v>0.9975394079</v>
      </c>
      <c r="G41" s="145">
        <f>LT!H92</f>
        <v>84356</v>
      </c>
      <c r="H41" s="146">
        <f>1-LT!F92</f>
        <v>0.925121</v>
      </c>
      <c r="I41" s="117">
        <f t="shared" si="14"/>
        <v>0.074879</v>
      </c>
      <c r="J41" s="147">
        <f>LT!G92</f>
        <v>2.5</v>
      </c>
      <c r="K41" s="148">
        <f>LT!L92</f>
        <v>19.92</v>
      </c>
      <c r="L41" s="117">
        <f t="shared" si="15"/>
        <v>0.9252981866</v>
      </c>
      <c r="M41" s="120">
        <f t="shared" si="16"/>
        <v>0.07470181339</v>
      </c>
      <c r="N41" s="121">
        <f t="shared" si="23"/>
        <v>84567.19806</v>
      </c>
      <c r="O41" s="122">
        <f t="shared" si="17"/>
        <v>6317.323048</v>
      </c>
      <c r="P41" s="117">
        <f t="shared" si="25"/>
        <v>2.637944407</v>
      </c>
      <c r="Q41" s="121">
        <f t="shared" si="19"/>
        <v>407914.122</v>
      </c>
      <c r="R41" s="121">
        <f t="shared" si="20"/>
        <v>1688556.811</v>
      </c>
      <c r="S41" s="115">
        <f t="shared" si="21"/>
        <v>19.96704218</v>
      </c>
      <c r="T41" s="123">
        <f t="shared" si="22"/>
        <v>0.04704218339</v>
      </c>
    </row>
    <row r="42" ht="15.75" customHeight="1">
      <c r="B42" s="112">
        <v>70.0</v>
      </c>
      <c r="C42" s="113">
        <v>5.0</v>
      </c>
      <c r="D42" s="145">
        <f>'Defunciones generales'!D93</f>
        <v>2540.141764</v>
      </c>
      <c r="E42" s="145">
        <f>Homicidios!D1071</f>
        <v>2.007791344</v>
      </c>
      <c r="F42" s="115">
        <f t="shared" si="13"/>
        <v>0.9992095751</v>
      </c>
      <c r="G42" s="145">
        <f>LT!H93</f>
        <v>78040</v>
      </c>
      <c r="H42" s="146">
        <f>1-LT!F93</f>
        <v>0.887103</v>
      </c>
      <c r="I42" s="117">
        <f t="shared" si="14"/>
        <v>0.112897</v>
      </c>
      <c r="J42" s="147">
        <f>LT!G93</f>
        <v>2.5</v>
      </c>
      <c r="K42" s="148">
        <f>LT!L93</f>
        <v>16.33</v>
      </c>
      <c r="L42" s="117">
        <f t="shared" si="15"/>
        <v>0.8871870023</v>
      </c>
      <c r="M42" s="120">
        <f t="shared" si="16"/>
        <v>0.1128129977</v>
      </c>
      <c r="N42" s="121">
        <f t="shared" si="23"/>
        <v>78249.87501</v>
      </c>
      <c r="O42" s="122">
        <f t="shared" si="17"/>
        <v>8827.602973</v>
      </c>
      <c r="P42" s="117">
        <f t="shared" si="25"/>
        <v>2.634036002</v>
      </c>
      <c r="Q42" s="121">
        <f t="shared" si="19"/>
        <v>370363.5842</v>
      </c>
      <c r="R42" s="121">
        <f t="shared" si="20"/>
        <v>1280642.689</v>
      </c>
      <c r="S42" s="115">
        <f t="shared" si="21"/>
        <v>16.36606689</v>
      </c>
      <c r="T42" s="123">
        <f t="shared" si="22"/>
        <v>0.03606689452</v>
      </c>
    </row>
    <row r="43" ht="15.75" customHeight="1">
      <c r="B43" s="112">
        <v>75.0</v>
      </c>
      <c r="C43" s="113">
        <v>5.0</v>
      </c>
      <c r="D43" s="145">
        <f>'Defunciones generales'!D94</f>
        <v>2842.218259</v>
      </c>
      <c r="E43" s="145">
        <f>Homicidios!D1072</f>
        <v>2.523374033</v>
      </c>
      <c r="F43" s="115">
        <f t="shared" si="13"/>
        <v>0.9991121815</v>
      </c>
      <c r="G43" s="145">
        <f>LT!H94</f>
        <v>69229</v>
      </c>
      <c r="H43" s="146">
        <f>1-LT!F94</f>
        <v>0.827052</v>
      </c>
      <c r="I43" s="117">
        <f t="shared" si="14"/>
        <v>0.172948</v>
      </c>
      <c r="J43" s="147">
        <f>LT!G94</f>
        <v>2.5</v>
      </c>
      <c r="K43" s="148">
        <f>LT!L94</f>
        <v>13.09</v>
      </c>
      <c r="L43" s="117">
        <f t="shared" si="15"/>
        <v>0.827191441</v>
      </c>
      <c r="M43" s="120">
        <f t="shared" si="16"/>
        <v>0.172808559</v>
      </c>
      <c r="N43" s="121">
        <f t="shared" si="23"/>
        <v>69422.27204</v>
      </c>
      <c r="O43" s="122">
        <f t="shared" si="17"/>
        <v>11996.76279</v>
      </c>
      <c r="P43" s="117">
        <f t="shared" si="25"/>
        <v>2.614134232</v>
      </c>
      <c r="Q43" s="121">
        <f t="shared" si="19"/>
        <v>318488.6945</v>
      </c>
      <c r="R43" s="121">
        <f t="shared" si="20"/>
        <v>910279.1047</v>
      </c>
      <c r="S43" s="115">
        <f t="shared" si="21"/>
        <v>13.11220561</v>
      </c>
      <c r="T43" s="123">
        <f t="shared" si="22"/>
        <v>0.02220560721</v>
      </c>
    </row>
    <row r="44" ht="15.75" customHeight="1">
      <c r="B44" s="112">
        <v>80.0</v>
      </c>
      <c r="C44" s="113">
        <v>5.0</v>
      </c>
      <c r="D44" s="145">
        <f>'Defunciones generales'!D95</f>
        <v>3147.790445</v>
      </c>
      <c r="E44" s="145">
        <f>Homicidios!D1073</f>
        <v>1.007791344</v>
      </c>
      <c r="F44" s="115">
        <f t="shared" si="13"/>
        <v>0.9996798417</v>
      </c>
      <c r="G44" s="145">
        <f>LT!H95</f>
        <v>57256</v>
      </c>
      <c r="H44" s="146">
        <f>1-LT!F95</f>
        <v>0.731754</v>
      </c>
      <c r="I44" s="117">
        <f t="shared" si="14"/>
        <v>0.268246</v>
      </c>
      <c r="J44" s="147">
        <f>LT!G95</f>
        <v>2.5</v>
      </c>
      <c r="K44" s="148">
        <f>LT!L95</f>
        <v>10.3</v>
      </c>
      <c r="L44" s="117">
        <f t="shared" si="15"/>
        <v>0.731827171</v>
      </c>
      <c r="M44" s="120">
        <f t="shared" si="16"/>
        <v>0.268172829</v>
      </c>
      <c r="N44" s="121">
        <f t="shared" si="23"/>
        <v>57425.50924</v>
      </c>
      <c r="O44" s="122">
        <f t="shared" si="17"/>
        <v>15399.96127</v>
      </c>
      <c r="P44" s="122">
        <f>C44+(F44*(I44/M44)*(J44-C44))</f>
        <v>2.500118489</v>
      </c>
      <c r="Q44" s="121">
        <f t="shared" si="19"/>
        <v>248629.4678</v>
      </c>
      <c r="R44" s="121">
        <f t="shared" si="20"/>
        <v>591790.4102</v>
      </c>
      <c r="S44" s="115">
        <f t="shared" si="21"/>
        <v>10.30535764</v>
      </c>
      <c r="T44" s="123">
        <f t="shared" si="22"/>
        <v>0.005357635468</v>
      </c>
    </row>
    <row r="45" ht="15.75" customHeight="1">
      <c r="B45" s="132">
        <v>85.0</v>
      </c>
      <c r="C45" s="133">
        <v>5.0</v>
      </c>
      <c r="D45" s="154">
        <f>'Defunciones generales'!D96</f>
        <v>5933.275768</v>
      </c>
      <c r="E45" s="145">
        <f>Homicidios!D1074</f>
        <v>0.5077913443</v>
      </c>
      <c r="F45" s="135">
        <f t="shared" si="13"/>
        <v>0.9999144164</v>
      </c>
      <c r="G45" s="145">
        <f>LT!H96</f>
        <v>41898</v>
      </c>
      <c r="H45" s="146">
        <f>1-LT!F96</f>
        <v>0</v>
      </c>
      <c r="I45" s="136">
        <f t="shared" si="14"/>
        <v>1</v>
      </c>
      <c r="J45" s="147" t="str">
        <f>LT!G96</f>
        <v>NA</v>
      </c>
      <c r="K45" s="148">
        <f>LT!L96</f>
        <v>8.17</v>
      </c>
      <c r="L45" s="136">
        <f t="shared" si="15"/>
        <v>0</v>
      </c>
      <c r="M45" s="137">
        <f t="shared" si="16"/>
        <v>1</v>
      </c>
      <c r="N45" s="138">
        <f t="shared" si="23"/>
        <v>42025.54797</v>
      </c>
      <c r="O45" s="139">
        <f t="shared" si="17"/>
        <v>42025.54797</v>
      </c>
      <c r="P45" s="136">
        <f>K45/F45</f>
        <v>8.170699278</v>
      </c>
      <c r="Q45" s="155">
        <f>N45/LT!E96</f>
        <v>343160.9424</v>
      </c>
      <c r="R45" s="138">
        <f>Q45</f>
        <v>343160.9424</v>
      </c>
      <c r="S45" s="135">
        <f t="shared" si="21"/>
        <v>8.165531658</v>
      </c>
      <c r="T45" s="141">
        <f t="shared" si="22"/>
        <v>-0.004468342234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>
      <c r="X100" s="153">
        <f t="shared" ref="X100:X118" si="26"> LN(I4)</f>
        <v>-4.355189981</v>
      </c>
      <c r="Y100" s="153">
        <f t="shared" ref="Y100:Y118" si="27">LN(M4)</f>
        <v>-4.356579244</v>
      </c>
    </row>
    <row r="101" ht="15.75" customHeight="1">
      <c r="X101" s="153">
        <f t="shared" si="26"/>
        <v>-6.019452584</v>
      </c>
      <c r="Y101" s="153">
        <f t="shared" si="27"/>
        <v>-6.032664824</v>
      </c>
    </row>
    <row r="102" ht="15.75" customHeight="1">
      <c r="X102" s="153">
        <f t="shared" si="26"/>
        <v>-6.721275712</v>
      </c>
      <c r="Y102" s="153">
        <f t="shared" si="27"/>
        <v>-6.745993404</v>
      </c>
    </row>
    <row r="103" ht="15.75" customHeight="1">
      <c r="X103" s="153">
        <f t="shared" si="26"/>
        <v>-6.49233984</v>
      </c>
      <c r="Y103" s="153">
        <f t="shared" si="27"/>
        <v>-6.56142751</v>
      </c>
    </row>
    <row r="104" ht="15.75" customHeight="1">
      <c r="X104" s="153">
        <f t="shared" si="26"/>
        <v>-5.265656584</v>
      </c>
      <c r="Y104" s="153">
        <f t="shared" si="27"/>
        <v>-5.531077045</v>
      </c>
    </row>
    <row r="105" ht="15.75" customHeight="1">
      <c r="X105" s="153">
        <f t="shared" si="26"/>
        <v>-4.582723997</v>
      </c>
      <c r="Y105" s="153">
        <f t="shared" si="27"/>
        <v>-4.959656606</v>
      </c>
    </row>
    <row r="106" ht="15.75" customHeight="1">
      <c r="X106" s="153">
        <f t="shared" si="26"/>
        <v>-4.26705644</v>
      </c>
      <c r="Y106" s="153">
        <f t="shared" si="27"/>
        <v>-4.593276777</v>
      </c>
    </row>
    <row r="107" ht="15.75" customHeight="1">
      <c r="X107" s="153">
        <f t="shared" si="26"/>
        <v>-4.208745823</v>
      </c>
      <c r="Y107" s="153">
        <f t="shared" si="27"/>
        <v>-4.486496826</v>
      </c>
    </row>
    <row r="108" ht="15.75" customHeight="1">
      <c r="X108" s="153">
        <f t="shared" si="26"/>
        <v>-4.067507908</v>
      </c>
      <c r="Y108" s="153">
        <f t="shared" si="27"/>
        <v>-4.268438329</v>
      </c>
    </row>
    <row r="109" ht="15.75" customHeight="1">
      <c r="X109" s="153">
        <f t="shared" si="26"/>
        <v>-3.862471227</v>
      </c>
      <c r="Y109" s="153">
        <f t="shared" si="27"/>
        <v>-4.001790641</v>
      </c>
    </row>
    <row r="110" ht="15.75" customHeight="1">
      <c r="X110" s="153">
        <f t="shared" si="26"/>
        <v>-3.584159143</v>
      </c>
      <c r="Y110" s="153">
        <f t="shared" si="27"/>
        <v>-3.670708778</v>
      </c>
    </row>
    <row r="111" ht="15.75" customHeight="1">
      <c r="X111" s="153">
        <f t="shared" si="26"/>
        <v>-3.265207763</v>
      </c>
      <c r="Y111" s="153">
        <f t="shared" si="27"/>
        <v>-3.310339287</v>
      </c>
    </row>
    <row r="112" ht="15.75" customHeight="1">
      <c r="X112" s="153">
        <f t="shared" si="26"/>
        <v>-2.899477086</v>
      </c>
      <c r="Y112" s="153">
        <f t="shared" si="27"/>
        <v>-2.920614435</v>
      </c>
    </row>
    <row r="113" ht="15.75" customHeight="1">
      <c r="X113" s="153">
        <f t="shared" si="26"/>
        <v>-2.564534444</v>
      </c>
      <c r="Y113" s="153">
        <f t="shared" si="27"/>
        <v>-2.578571374</v>
      </c>
    </row>
    <row r="114" ht="15.75" customHeight="1">
      <c r="X114" s="153">
        <f t="shared" si="26"/>
        <v>-2.304897765</v>
      </c>
      <c r="Y114" s="153">
        <f t="shared" si="27"/>
        <v>-2.312829915</v>
      </c>
    </row>
    <row r="115" ht="15.75" customHeight="1">
      <c r="X115" s="153">
        <f t="shared" si="26"/>
        <v>-1.949972389</v>
      </c>
      <c r="Y115" s="153">
        <f t="shared" si="27"/>
        <v>-1.955858224</v>
      </c>
    </row>
    <row r="116" ht="15.75" customHeight="1">
      <c r="X116" s="153">
        <f t="shared" si="26"/>
        <v>-1.563580616</v>
      </c>
      <c r="Y116" s="153">
        <f t="shared" si="27"/>
        <v>-1.565439074</v>
      </c>
    </row>
    <row r="117" ht="15.75" customHeight="1">
      <c r="X117" s="153">
        <f t="shared" si="26"/>
        <v>-1.15849606</v>
      </c>
      <c r="Y117" s="153">
        <f t="shared" si="27"/>
        <v>-1.159163071</v>
      </c>
    </row>
    <row r="118" ht="15.75" customHeight="1">
      <c r="X118" s="153">
        <f t="shared" si="26"/>
        <v>0</v>
      </c>
      <c r="Y118" s="153">
        <f t="shared" si="27"/>
        <v>0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T2"/>
    <mergeCell ref="V5:W7"/>
    <mergeCell ref="B24:T24"/>
    <mergeCell ref="V28:W3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5" width="10.75"/>
    <col customWidth="1" min="16" max="26" width="14.38"/>
  </cols>
  <sheetData>
    <row r="1">
      <c r="A1" s="156" t="s">
        <v>117</v>
      </c>
      <c r="B1" s="156" t="s">
        <v>118</v>
      </c>
      <c r="C1" s="156" t="s">
        <v>119</v>
      </c>
      <c r="D1" s="156" t="s">
        <v>120</v>
      </c>
      <c r="E1" s="156" t="s">
        <v>121</v>
      </c>
      <c r="F1" s="156" t="s">
        <v>122</v>
      </c>
      <c r="G1" s="156" t="s">
        <v>123</v>
      </c>
      <c r="H1" s="156" t="s">
        <v>124</v>
      </c>
      <c r="I1" s="156" t="s">
        <v>125</v>
      </c>
      <c r="J1" s="156" t="s">
        <v>126</v>
      </c>
      <c r="K1" s="156" t="s">
        <v>127</v>
      </c>
      <c r="L1" s="156" t="s">
        <v>128</v>
      </c>
    </row>
    <row r="2">
      <c r="A2" s="156" t="s">
        <v>129</v>
      </c>
      <c r="B2" s="156">
        <v>2010.0</v>
      </c>
      <c r="C2" s="156" t="s">
        <v>130</v>
      </c>
      <c r="D2" s="156">
        <v>0.0</v>
      </c>
      <c r="E2" s="156">
        <v>0.016491</v>
      </c>
      <c r="F2" s="156">
        <v>0.016247</v>
      </c>
      <c r="G2" s="156">
        <v>0.09</v>
      </c>
      <c r="H2" s="157">
        <v>100000.0</v>
      </c>
      <c r="I2" s="156">
        <v>1625.0</v>
      </c>
      <c r="J2" s="156">
        <v>98520.0</v>
      </c>
      <c r="K2" s="156">
        <v>7265016.0</v>
      </c>
      <c r="L2" s="156">
        <v>72.65</v>
      </c>
    </row>
    <row r="3">
      <c r="A3" s="156" t="s">
        <v>129</v>
      </c>
      <c r="B3" s="156">
        <v>2010.0</v>
      </c>
      <c r="C3" s="156" t="s">
        <v>130</v>
      </c>
      <c r="D3" s="156">
        <v>1.0</v>
      </c>
      <c r="E3" s="156">
        <v>7.64E-4</v>
      </c>
      <c r="F3" s="156">
        <v>0.003049</v>
      </c>
      <c r="G3" s="156">
        <v>1.6</v>
      </c>
      <c r="H3" s="156">
        <v>98375.0</v>
      </c>
      <c r="I3" s="156">
        <v>300.0</v>
      </c>
      <c r="J3" s="156">
        <v>392783.0</v>
      </c>
      <c r="K3" s="156">
        <v>7166496.0</v>
      </c>
      <c r="L3" s="156">
        <v>72.85</v>
      </c>
    </row>
    <row r="4">
      <c r="A4" s="156" t="s">
        <v>129</v>
      </c>
      <c r="B4" s="156">
        <v>2010.0</v>
      </c>
      <c r="C4" s="156" t="s">
        <v>130</v>
      </c>
      <c r="D4" s="156">
        <v>5.0</v>
      </c>
      <c r="E4" s="156">
        <v>2.99E-4</v>
      </c>
      <c r="F4" s="156">
        <v>0.001492</v>
      </c>
      <c r="G4" s="156">
        <v>2.5</v>
      </c>
      <c r="H4" s="156">
        <v>98075.0</v>
      </c>
      <c r="I4" s="156">
        <v>146.0</v>
      </c>
      <c r="J4" s="156">
        <v>490011.0</v>
      </c>
      <c r="K4" s="156">
        <v>6773713.0</v>
      </c>
      <c r="L4" s="156">
        <v>69.07</v>
      </c>
    </row>
    <row r="5">
      <c r="A5" s="156" t="s">
        <v>129</v>
      </c>
      <c r="B5" s="156">
        <v>2010.0</v>
      </c>
      <c r="C5" s="156" t="s">
        <v>130</v>
      </c>
      <c r="D5" s="156">
        <v>10.0</v>
      </c>
      <c r="E5" s="156">
        <v>3.95E-4</v>
      </c>
      <c r="F5" s="156">
        <v>0.001974</v>
      </c>
      <c r="G5" s="156">
        <v>2.5</v>
      </c>
      <c r="H5" s="156">
        <v>97929.0</v>
      </c>
      <c r="I5" s="156">
        <v>193.0</v>
      </c>
      <c r="J5" s="156">
        <v>489162.0</v>
      </c>
      <c r="K5" s="156">
        <v>6283702.0</v>
      </c>
      <c r="L5" s="156">
        <v>64.17</v>
      </c>
    </row>
    <row r="6">
      <c r="A6" s="156" t="s">
        <v>129</v>
      </c>
      <c r="B6" s="156">
        <v>2010.0</v>
      </c>
      <c r="C6" s="156" t="s">
        <v>130</v>
      </c>
      <c r="D6" s="156">
        <v>15.0</v>
      </c>
      <c r="E6" s="156">
        <v>0.00111</v>
      </c>
      <c r="F6" s="156">
        <v>0.005535</v>
      </c>
      <c r="G6" s="156">
        <v>2.5</v>
      </c>
      <c r="H6" s="156">
        <v>97736.0</v>
      </c>
      <c r="I6" s="156">
        <v>541.0</v>
      </c>
      <c r="J6" s="156">
        <v>487326.0</v>
      </c>
      <c r="K6" s="156">
        <v>5794541.0</v>
      </c>
      <c r="L6" s="156">
        <v>59.29</v>
      </c>
    </row>
    <row r="7">
      <c r="A7" s="156" t="s">
        <v>129</v>
      </c>
      <c r="B7" s="156">
        <v>2010.0</v>
      </c>
      <c r="C7" s="156" t="s">
        <v>130</v>
      </c>
      <c r="D7" s="156">
        <v>20.0</v>
      </c>
      <c r="E7" s="156">
        <v>0.001882</v>
      </c>
      <c r="F7" s="156">
        <v>0.009366</v>
      </c>
      <c r="G7" s="156">
        <v>2.5</v>
      </c>
      <c r="H7" s="156">
        <v>97195.0</v>
      </c>
      <c r="I7" s="156">
        <v>910.0</v>
      </c>
      <c r="J7" s="156">
        <v>483698.0</v>
      </c>
      <c r="K7" s="156">
        <v>5307215.0</v>
      </c>
      <c r="L7" s="156">
        <v>54.6</v>
      </c>
    </row>
    <row r="8">
      <c r="A8" s="156" t="s">
        <v>129</v>
      </c>
      <c r="B8" s="156">
        <v>2010.0</v>
      </c>
      <c r="C8" s="156" t="s">
        <v>130</v>
      </c>
      <c r="D8" s="156">
        <v>25.0</v>
      </c>
      <c r="E8" s="156">
        <v>0.002478</v>
      </c>
      <c r="F8" s="156">
        <v>0.012312</v>
      </c>
      <c r="G8" s="156">
        <v>2.5</v>
      </c>
      <c r="H8" s="156">
        <v>96284.0</v>
      </c>
      <c r="I8" s="156">
        <v>1185.0</v>
      </c>
      <c r="J8" s="156">
        <v>478459.0</v>
      </c>
      <c r="K8" s="156">
        <v>4823517.0</v>
      </c>
      <c r="L8" s="156">
        <v>50.1</v>
      </c>
    </row>
    <row r="9">
      <c r="A9" s="156" t="s">
        <v>129</v>
      </c>
      <c r="B9" s="156">
        <v>2010.0</v>
      </c>
      <c r="C9" s="156" t="s">
        <v>130</v>
      </c>
      <c r="D9" s="156">
        <v>30.0</v>
      </c>
      <c r="E9" s="156">
        <v>0.002989</v>
      </c>
      <c r="F9" s="156">
        <v>0.014833</v>
      </c>
      <c r="G9" s="156">
        <v>2.5</v>
      </c>
      <c r="H9" s="156">
        <v>95099.0</v>
      </c>
      <c r="I9" s="156">
        <v>1411.0</v>
      </c>
      <c r="J9" s="156">
        <v>471968.0</v>
      </c>
      <c r="K9" s="156">
        <v>4345058.0</v>
      </c>
      <c r="L9" s="156">
        <v>45.69</v>
      </c>
    </row>
    <row r="10">
      <c r="A10" s="156" t="s">
        <v>129</v>
      </c>
      <c r="B10" s="156">
        <v>2010.0</v>
      </c>
      <c r="C10" s="156" t="s">
        <v>130</v>
      </c>
      <c r="D10" s="156">
        <v>35.0</v>
      </c>
      <c r="E10" s="156">
        <v>0.003492</v>
      </c>
      <c r="F10" s="156">
        <v>0.01731</v>
      </c>
      <c r="G10" s="156">
        <v>2.5</v>
      </c>
      <c r="H10" s="156">
        <v>93688.0</v>
      </c>
      <c r="I10" s="156">
        <v>1622.0</v>
      </c>
      <c r="J10" s="156">
        <v>464387.0</v>
      </c>
      <c r="K10" s="156">
        <v>3873090.0</v>
      </c>
      <c r="L10" s="156">
        <v>41.34</v>
      </c>
    </row>
    <row r="11">
      <c r="A11" s="156" t="s">
        <v>129</v>
      </c>
      <c r="B11" s="156">
        <v>2010.0</v>
      </c>
      <c r="C11" s="156" t="s">
        <v>130</v>
      </c>
      <c r="D11" s="156">
        <v>40.0</v>
      </c>
      <c r="E11" s="156">
        <v>0.004316</v>
      </c>
      <c r="F11" s="156">
        <v>0.021352</v>
      </c>
      <c r="G11" s="156">
        <v>2.5</v>
      </c>
      <c r="H11" s="156">
        <v>92067.0</v>
      </c>
      <c r="I11" s="156">
        <v>1966.0</v>
      </c>
      <c r="J11" s="156">
        <v>455419.0</v>
      </c>
      <c r="K11" s="156">
        <v>3408702.0</v>
      </c>
      <c r="L11" s="156">
        <v>37.02</v>
      </c>
    </row>
    <row r="12">
      <c r="A12" s="156" t="s">
        <v>129</v>
      </c>
      <c r="B12" s="156">
        <v>2010.0</v>
      </c>
      <c r="C12" s="156" t="s">
        <v>130</v>
      </c>
      <c r="D12" s="156">
        <v>45.0</v>
      </c>
      <c r="E12" s="156">
        <v>0.005935</v>
      </c>
      <c r="F12" s="156">
        <v>0.029239</v>
      </c>
      <c r="G12" s="156">
        <v>2.5</v>
      </c>
      <c r="H12" s="156">
        <v>90101.0</v>
      </c>
      <c r="I12" s="156">
        <v>2634.0</v>
      </c>
      <c r="J12" s="156">
        <v>443918.0</v>
      </c>
      <c r="K12" s="156">
        <v>2953284.0</v>
      </c>
      <c r="L12" s="156">
        <v>32.78</v>
      </c>
    </row>
    <row r="13">
      <c r="A13" s="156" t="s">
        <v>129</v>
      </c>
      <c r="B13" s="156">
        <v>2010.0</v>
      </c>
      <c r="C13" s="156" t="s">
        <v>130</v>
      </c>
      <c r="D13" s="156">
        <v>50.0</v>
      </c>
      <c r="E13" s="156">
        <v>0.008167</v>
      </c>
      <c r="F13" s="156">
        <v>0.040016</v>
      </c>
      <c r="G13" s="156">
        <v>2.5</v>
      </c>
      <c r="H13" s="156">
        <v>87466.0</v>
      </c>
      <c r="I13" s="156">
        <v>3500.0</v>
      </c>
      <c r="J13" s="156">
        <v>428582.0</v>
      </c>
      <c r="K13" s="156">
        <v>2509366.0</v>
      </c>
      <c r="L13" s="156">
        <v>28.69</v>
      </c>
    </row>
    <row r="14">
      <c r="A14" s="156" t="s">
        <v>129</v>
      </c>
      <c r="B14" s="156">
        <v>2010.0</v>
      </c>
      <c r="C14" s="156" t="s">
        <v>130</v>
      </c>
      <c r="D14" s="156">
        <v>55.0</v>
      </c>
      <c r="E14" s="156">
        <v>0.01134</v>
      </c>
      <c r="F14" s="156">
        <v>0.055136</v>
      </c>
      <c r="G14" s="156">
        <v>2.5</v>
      </c>
      <c r="H14" s="156">
        <v>83966.0</v>
      </c>
      <c r="I14" s="156">
        <v>4630.0</v>
      </c>
      <c r="J14" s="156">
        <v>408257.0</v>
      </c>
      <c r="K14" s="156">
        <v>2080784.0</v>
      </c>
      <c r="L14" s="156">
        <v>24.78</v>
      </c>
    </row>
    <row r="15">
      <c r="A15" s="156" t="s">
        <v>129</v>
      </c>
      <c r="B15" s="156">
        <v>2010.0</v>
      </c>
      <c r="C15" s="156" t="s">
        <v>130</v>
      </c>
      <c r="D15" s="156">
        <v>60.0</v>
      </c>
      <c r="E15" s="156">
        <v>0.015623</v>
      </c>
      <c r="F15" s="156">
        <v>0.075179</v>
      </c>
      <c r="G15" s="156">
        <v>2.5</v>
      </c>
      <c r="H15" s="156">
        <v>79337.0</v>
      </c>
      <c r="I15" s="156">
        <v>5964.0</v>
      </c>
      <c r="J15" s="156">
        <v>381772.0</v>
      </c>
      <c r="K15" s="156">
        <v>1672527.0</v>
      </c>
      <c r="L15" s="156">
        <v>21.08</v>
      </c>
    </row>
    <row r="16">
      <c r="A16" s="156" t="s">
        <v>129</v>
      </c>
      <c r="B16" s="156">
        <v>2010.0</v>
      </c>
      <c r="C16" s="156" t="s">
        <v>130</v>
      </c>
      <c r="D16" s="156">
        <v>65.0</v>
      </c>
      <c r="E16" s="156">
        <v>0.022941</v>
      </c>
      <c r="F16" s="156">
        <v>0.108484</v>
      </c>
      <c r="G16" s="156">
        <v>2.5</v>
      </c>
      <c r="H16" s="156">
        <v>73372.0</v>
      </c>
      <c r="I16" s="156">
        <v>7960.0</v>
      </c>
      <c r="J16" s="156">
        <v>346962.0</v>
      </c>
      <c r="K16" s="156">
        <v>1290755.0</v>
      </c>
      <c r="L16" s="156">
        <v>17.59</v>
      </c>
    </row>
    <row r="17">
      <c r="A17" s="156" t="s">
        <v>129</v>
      </c>
      <c r="B17" s="156">
        <v>2010.0</v>
      </c>
      <c r="C17" s="156" t="s">
        <v>130</v>
      </c>
      <c r="D17" s="156">
        <v>70.0</v>
      </c>
      <c r="E17" s="156">
        <v>0.032601</v>
      </c>
      <c r="F17" s="156">
        <v>0.150721</v>
      </c>
      <c r="G17" s="156">
        <v>2.5</v>
      </c>
      <c r="H17" s="156">
        <v>65412.0</v>
      </c>
      <c r="I17" s="156">
        <v>9859.0</v>
      </c>
      <c r="J17" s="156">
        <v>302415.0</v>
      </c>
      <c r="K17" s="156">
        <v>943793.0</v>
      </c>
      <c r="L17" s="156">
        <v>14.43</v>
      </c>
    </row>
    <row r="18">
      <c r="A18" s="156" t="s">
        <v>129</v>
      </c>
      <c r="B18" s="156">
        <v>2010.0</v>
      </c>
      <c r="C18" s="156" t="s">
        <v>130</v>
      </c>
      <c r="D18" s="156">
        <v>75.0</v>
      </c>
      <c r="E18" s="156">
        <v>0.051774</v>
      </c>
      <c r="F18" s="156">
        <v>0.229204</v>
      </c>
      <c r="G18" s="156">
        <v>2.5</v>
      </c>
      <c r="H18" s="156">
        <v>55553.0</v>
      </c>
      <c r="I18" s="156">
        <v>12733.0</v>
      </c>
      <c r="J18" s="156">
        <v>245935.0</v>
      </c>
      <c r="K18" s="156">
        <v>641378.0</v>
      </c>
      <c r="L18" s="156">
        <v>11.55</v>
      </c>
    </row>
    <row r="19">
      <c r="A19" s="156" t="s">
        <v>129</v>
      </c>
      <c r="B19" s="156">
        <v>2010.0</v>
      </c>
      <c r="C19" s="156" t="s">
        <v>130</v>
      </c>
      <c r="D19" s="156">
        <v>80.0</v>
      </c>
      <c r="E19" s="156">
        <v>0.078491</v>
      </c>
      <c r="F19" s="156">
        <v>0.328076</v>
      </c>
      <c r="G19" s="156">
        <v>2.5</v>
      </c>
      <c r="H19" s="156">
        <v>42820.0</v>
      </c>
      <c r="I19" s="156">
        <v>14048.0</v>
      </c>
      <c r="J19" s="156">
        <v>178981.0</v>
      </c>
      <c r="K19" s="156">
        <v>395443.0</v>
      </c>
      <c r="L19" s="156">
        <v>9.23</v>
      </c>
    </row>
    <row r="20">
      <c r="A20" s="156" t="s">
        <v>129</v>
      </c>
      <c r="B20" s="156">
        <v>2010.0</v>
      </c>
      <c r="C20" s="156" t="s">
        <v>130</v>
      </c>
      <c r="D20" s="156">
        <v>85.0</v>
      </c>
      <c r="E20" s="156">
        <v>0.13292</v>
      </c>
      <c r="F20" s="156">
        <v>1.0</v>
      </c>
      <c r="G20" s="156" t="s">
        <v>131</v>
      </c>
      <c r="H20" s="156">
        <v>28772.0</v>
      </c>
      <c r="I20" s="156">
        <v>28772.0</v>
      </c>
      <c r="J20" s="156">
        <v>216462.0</v>
      </c>
      <c r="K20" s="156">
        <v>216462.0</v>
      </c>
      <c r="L20" s="156">
        <v>7.52</v>
      </c>
    </row>
    <row r="21" ht="15.75" customHeight="1">
      <c r="A21" s="158" t="s">
        <v>129</v>
      </c>
      <c r="B21" s="158">
        <v>2019.0</v>
      </c>
      <c r="C21" s="158" t="s">
        <v>130</v>
      </c>
      <c r="D21" s="158">
        <v>0.0</v>
      </c>
      <c r="E21" s="158">
        <v>0.012994</v>
      </c>
      <c r="F21" s="158">
        <v>0.01284</v>
      </c>
      <c r="G21" s="158">
        <v>0.08</v>
      </c>
      <c r="H21" s="159">
        <v>100000.0</v>
      </c>
      <c r="I21" s="158">
        <v>1284.0</v>
      </c>
      <c r="J21" s="158">
        <v>98819.0</v>
      </c>
      <c r="K21" s="158">
        <v>7346263.0</v>
      </c>
      <c r="L21" s="158">
        <v>73.46</v>
      </c>
      <c r="M21" s="160"/>
    </row>
    <row r="22" ht="15.75" customHeight="1">
      <c r="A22" s="158" t="s">
        <v>129</v>
      </c>
      <c r="B22" s="158">
        <v>2019.0</v>
      </c>
      <c r="C22" s="158" t="s">
        <v>130</v>
      </c>
      <c r="D22" s="158">
        <v>1.0</v>
      </c>
      <c r="E22" s="158">
        <v>6.09E-4</v>
      </c>
      <c r="F22" s="158">
        <v>0.002431</v>
      </c>
      <c r="G22" s="158">
        <v>1.61</v>
      </c>
      <c r="H22" s="158">
        <v>98716.0</v>
      </c>
      <c r="I22" s="158">
        <v>240.0</v>
      </c>
      <c r="J22" s="158">
        <v>394291.0</v>
      </c>
      <c r="K22" s="158">
        <v>7247445.0</v>
      </c>
      <c r="L22" s="158">
        <v>73.42</v>
      </c>
      <c r="M22" s="160"/>
    </row>
    <row r="23" ht="15.75" customHeight="1">
      <c r="A23" s="158" t="s">
        <v>129</v>
      </c>
      <c r="B23" s="158">
        <v>2019.0</v>
      </c>
      <c r="C23" s="158" t="s">
        <v>130</v>
      </c>
      <c r="D23" s="158">
        <v>5.0</v>
      </c>
      <c r="E23" s="158">
        <v>2.41E-4</v>
      </c>
      <c r="F23" s="158">
        <v>0.001205</v>
      </c>
      <c r="G23" s="158">
        <v>2.5</v>
      </c>
      <c r="H23" s="158">
        <v>98476.0</v>
      </c>
      <c r="I23" s="158">
        <v>119.0</v>
      </c>
      <c r="J23" s="158">
        <v>492083.0</v>
      </c>
      <c r="K23" s="158">
        <v>6853153.0</v>
      </c>
      <c r="L23" s="158">
        <v>69.59</v>
      </c>
      <c r="M23" s="160"/>
    </row>
    <row r="24" ht="15.75" customHeight="1">
      <c r="A24" s="158" t="s">
        <v>129</v>
      </c>
      <c r="B24" s="158">
        <v>2019.0</v>
      </c>
      <c r="C24" s="158" t="s">
        <v>130</v>
      </c>
      <c r="D24" s="158">
        <v>10.0</v>
      </c>
      <c r="E24" s="158">
        <v>3.03E-4</v>
      </c>
      <c r="F24" s="158">
        <v>0.001515</v>
      </c>
      <c r="G24" s="158">
        <v>2.5</v>
      </c>
      <c r="H24" s="158">
        <v>98357.0</v>
      </c>
      <c r="I24" s="158">
        <v>149.0</v>
      </c>
      <c r="J24" s="158">
        <v>491414.0</v>
      </c>
      <c r="K24" s="158">
        <v>6361070.0</v>
      </c>
      <c r="L24" s="158">
        <v>64.67</v>
      </c>
      <c r="M24" s="160"/>
    </row>
    <row r="25" ht="15.75" customHeight="1">
      <c r="A25" s="158" t="s">
        <v>129</v>
      </c>
      <c r="B25" s="158">
        <v>2019.0</v>
      </c>
      <c r="C25" s="158" t="s">
        <v>130</v>
      </c>
      <c r="D25" s="158">
        <v>15.0</v>
      </c>
      <c r="E25" s="158">
        <v>0.001036</v>
      </c>
      <c r="F25" s="158">
        <v>0.005166</v>
      </c>
      <c r="G25" s="158">
        <v>2.5</v>
      </c>
      <c r="H25" s="158">
        <v>98208.0</v>
      </c>
      <c r="I25" s="158">
        <v>507.0</v>
      </c>
      <c r="J25" s="158">
        <v>489773.0</v>
      </c>
      <c r="K25" s="158">
        <v>5869657.0</v>
      </c>
      <c r="L25" s="158">
        <v>59.77</v>
      </c>
      <c r="M25" s="160"/>
    </row>
    <row r="26" ht="15.75" customHeight="1">
      <c r="A26" s="158" t="s">
        <v>129</v>
      </c>
      <c r="B26" s="158">
        <v>2019.0</v>
      </c>
      <c r="C26" s="158" t="s">
        <v>130</v>
      </c>
      <c r="D26" s="158">
        <v>20.0</v>
      </c>
      <c r="E26" s="158">
        <v>0.002056</v>
      </c>
      <c r="F26" s="158">
        <v>0.010227</v>
      </c>
      <c r="G26" s="158">
        <v>2.5</v>
      </c>
      <c r="H26" s="158">
        <v>97701.0</v>
      </c>
      <c r="I26" s="158">
        <v>999.0</v>
      </c>
      <c r="J26" s="158">
        <v>486006.0</v>
      </c>
      <c r="K26" s="158">
        <v>5379884.0</v>
      </c>
      <c r="L26" s="158">
        <v>55.06</v>
      </c>
      <c r="M26" s="160"/>
    </row>
    <row r="27" ht="15.75" customHeight="1">
      <c r="A27" s="158" t="s">
        <v>129</v>
      </c>
      <c r="B27" s="158">
        <v>2019.0</v>
      </c>
      <c r="C27" s="158" t="s">
        <v>130</v>
      </c>
      <c r="D27" s="158">
        <v>25.0</v>
      </c>
      <c r="E27" s="158">
        <v>0.002824</v>
      </c>
      <c r="F27" s="158">
        <v>0.014023</v>
      </c>
      <c r="G27" s="158">
        <v>2.5</v>
      </c>
      <c r="H27" s="158">
        <v>96702.0</v>
      </c>
      <c r="I27" s="158">
        <v>1356.0</v>
      </c>
      <c r="J27" s="158">
        <v>480118.0</v>
      </c>
      <c r="K27" s="158">
        <v>4893878.0</v>
      </c>
      <c r="L27" s="158">
        <v>50.61</v>
      </c>
      <c r="M27" s="160"/>
    </row>
    <row r="28" ht="15.75" customHeight="1">
      <c r="A28" s="158" t="s">
        <v>129</v>
      </c>
      <c r="B28" s="158">
        <v>2019.0</v>
      </c>
      <c r="C28" s="158" t="s">
        <v>130</v>
      </c>
      <c r="D28" s="158">
        <v>30.0</v>
      </c>
      <c r="E28" s="158">
        <v>0.002995</v>
      </c>
      <c r="F28" s="158">
        <v>0.014865</v>
      </c>
      <c r="G28" s="158">
        <v>2.5</v>
      </c>
      <c r="H28" s="158">
        <v>95346.0</v>
      </c>
      <c r="I28" s="158">
        <v>1417.0</v>
      </c>
      <c r="J28" s="158">
        <v>473184.0</v>
      </c>
      <c r="K28" s="158">
        <v>4413760.0</v>
      </c>
      <c r="L28" s="158">
        <v>46.29</v>
      </c>
      <c r="M28" s="160"/>
    </row>
    <row r="29" ht="15.75" customHeight="1">
      <c r="A29" s="158" t="s">
        <v>129</v>
      </c>
      <c r="B29" s="158">
        <v>2019.0</v>
      </c>
      <c r="C29" s="158" t="s">
        <v>130</v>
      </c>
      <c r="D29" s="158">
        <v>35.0</v>
      </c>
      <c r="E29" s="158">
        <v>0.003454</v>
      </c>
      <c r="F29" s="158">
        <v>0.01712</v>
      </c>
      <c r="G29" s="158">
        <v>2.5</v>
      </c>
      <c r="H29" s="158">
        <v>93928.0</v>
      </c>
      <c r="I29" s="158">
        <v>1608.0</v>
      </c>
      <c r="J29" s="158">
        <v>465621.0</v>
      </c>
      <c r="K29" s="158">
        <v>3940575.0</v>
      </c>
      <c r="L29" s="158">
        <v>41.95</v>
      </c>
      <c r="M29" s="160"/>
    </row>
    <row r="30" ht="15.75" customHeight="1">
      <c r="A30" s="158" t="s">
        <v>129</v>
      </c>
      <c r="B30" s="158">
        <v>2019.0</v>
      </c>
      <c r="C30" s="158" t="s">
        <v>130</v>
      </c>
      <c r="D30" s="158">
        <v>40.0</v>
      </c>
      <c r="E30" s="158">
        <v>0.004248</v>
      </c>
      <c r="F30" s="158">
        <v>0.021016</v>
      </c>
      <c r="G30" s="158">
        <v>2.5</v>
      </c>
      <c r="H30" s="158">
        <v>92320.0</v>
      </c>
      <c r="I30" s="158">
        <v>1940.0</v>
      </c>
      <c r="J30" s="158">
        <v>456750.0</v>
      </c>
      <c r="K30" s="158">
        <v>3474954.0</v>
      </c>
      <c r="L30" s="158">
        <v>37.64</v>
      </c>
      <c r="M30" s="160"/>
    </row>
    <row r="31" ht="15.75" customHeight="1">
      <c r="A31" s="158" t="s">
        <v>129</v>
      </c>
      <c r="B31" s="158">
        <v>2019.0</v>
      </c>
      <c r="C31" s="158" t="s">
        <v>130</v>
      </c>
      <c r="D31" s="158">
        <v>45.0</v>
      </c>
      <c r="E31" s="158">
        <v>0.00563</v>
      </c>
      <c r="F31" s="158">
        <v>0.02776</v>
      </c>
      <c r="G31" s="158">
        <v>2.5</v>
      </c>
      <c r="H31" s="158">
        <v>90380.0</v>
      </c>
      <c r="I31" s="158">
        <v>2509.0</v>
      </c>
      <c r="J31" s="158">
        <v>445627.0</v>
      </c>
      <c r="K31" s="158">
        <v>3018204.0</v>
      </c>
      <c r="L31" s="158">
        <v>33.39</v>
      </c>
      <c r="M31" s="160"/>
    </row>
    <row r="32" ht="15.75" customHeight="1">
      <c r="A32" s="158" t="s">
        <v>129</v>
      </c>
      <c r="B32" s="158">
        <v>2019.0</v>
      </c>
      <c r="C32" s="158" t="s">
        <v>130</v>
      </c>
      <c r="D32" s="158">
        <v>50.0</v>
      </c>
      <c r="E32" s="158">
        <v>0.007787</v>
      </c>
      <c r="F32" s="158">
        <v>0.038189</v>
      </c>
      <c r="G32" s="158">
        <v>2.5</v>
      </c>
      <c r="H32" s="158">
        <v>87871.0</v>
      </c>
      <c r="I32" s="158">
        <v>3356.0</v>
      </c>
      <c r="J32" s="158">
        <v>430966.0</v>
      </c>
      <c r="K32" s="158">
        <v>2572576.0</v>
      </c>
      <c r="L32" s="158">
        <v>29.28</v>
      </c>
      <c r="M32" s="160"/>
    </row>
    <row r="33" ht="15.75" customHeight="1">
      <c r="A33" s="158" t="s">
        <v>129</v>
      </c>
      <c r="B33" s="158">
        <v>2019.0</v>
      </c>
      <c r="C33" s="158" t="s">
        <v>130</v>
      </c>
      <c r="D33" s="158">
        <v>55.0</v>
      </c>
      <c r="E33" s="158">
        <v>0.011322</v>
      </c>
      <c r="F33" s="158">
        <v>0.055052</v>
      </c>
      <c r="G33" s="158">
        <v>2.5</v>
      </c>
      <c r="H33" s="158">
        <v>84515.0</v>
      </c>
      <c r="I33" s="158">
        <v>4653.0</v>
      </c>
      <c r="J33" s="158">
        <v>410945.0</v>
      </c>
      <c r="K33" s="158">
        <v>2141611.0</v>
      </c>
      <c r="L33" s="158">
        <v>25.34</v>
      </c>
      <c r="M33" s="160"/>
    </row>
    <row r="34" ht="15.75" customHeight="1">
      <c r="A34" s="158" t="s">
        <v>129</v>
      </c>
      <c r="B34" s="158">
        <v>2019.0</v>
      </c>
      <c r="C34" s="158" t="s">
        <v>130</v>
      </c>
      <c r="D34" s="158">
        <v>60.0</v>
      </c>
      <c r="E34" s="158">
        <v>0.016007</v>
      </c>
      <c r="F34" s="158">
        <v>0.076955</v>
      </c>
      <c r="G34" s="158">
        <v>2.5</v>
      </c>
      <c r="H34" s="158">
        <v>79863.0</v>
      </c>
      <c r="I34" s="158">
        <v>6146.0</v>
      </c>
      <c r="J34" s="158">
        <v>383948.0</v>
      </c>
      <c r="K34" s="158">
        <v>1730666.0</v>
      </c>
      <c r="L34" s="158">
        <v>21.67</v>
      </c>
      <c r="M34" s="160"/>
    </row>
    <row r="35" ht="15.75" customHeight="1">
      <c r="A35" s="158" t="s">
        <v>129</v>
      </c>
      <c r="B35" s="158">
        <v>2019.0</v>
      </c>
      <c r="C35" s="158" t="s">
        <v>130</v>
      </c>
      <c r="D35" s="158">
        <v>65.0</v>
      </c>
      <c r="E35" s="158">
        <v>0.021001</v>
      </c>
      <c r="F35" s="158">
        <v>0.099769</v>
      </c>
      <c r="G35" s="158">
        <v>2.5</v>
      </c>
      <c r="H35" s="158">
        <v>73717.0</v>
      </c>
      <c r="I35" s="158">
        <v>7355.0</v>
      </c>
      <c r="J35" s="158">
        <v>350197.0</v>
      </c>
      <c r="K35" s="158">
        <v>1346718.0</v>
      </c>
      <c r="L35" s="158">
        <v>18.27</v>
      </c>
      <c r="M35" s="160"/>
    </row>
    <row r="36" ht="15.75" customHeight="1">
      <c r="A36" s="158" t="s">
        <v>129</v>
      </c>
      <c r="B36" s="158">
        <v>2019.0</v>
      </c>
      <c r="C36" s="158" t="s">
        <v>130</v>
      </c>
      <c r="D36" s="158">
        <v>70.0</v>
      </c>
      <c r="E36" s="158">
        <v>0.030635</v>
      </c>
      <c r="F36" s="158">
        <v>0.142278</v>
      </c>
      <c r="G36" s="158">
        <v>2.5</v>
      </c>
      <c r="H36" s="158">
        <v>66362.0</v>
      </c>
      <c r="I36" s="158">
        <v>9442.0</v>
      </c>
      <c r="J36" s="158">
        <v>308206.0</v>
      </c>
      <c r="K36" s="158">
        <v>996521.0</v>
      </c>
      <c r="L36" s="158">
        <v>15.02</v>
      </c>
      <c r="M36" s="160"/>
    </row>
    <row r="37" ht="15.75" customHeight="1">
      <c r="A37" s="158" t="s">
        <v>129</v>
      </c>
      <c r="B37" s="158">
        <v>2019.0</v>
      </c>
      <c r="C37" s="158" t="s">
        <v>130</v>
      </c>
      <c r="D37" s="158">
        <v>75.0</v>
      </c>
      <c r="E37" s="158">
        <v>0.046774</v>
      </c>
      <c r="F37" s="158">
        <v>0.209385</v>
      </c>
      <c r="G37" s="158">
        <v>2.5</v>
      </c>
      <c r="H37" s="158">
        <v>56920.0</v>
      </c>
      <c r="I37" s="158">
        <v>11918.0</v>
      </c>
      <c r="J37" s="158">
        <v>254806.0</v>
      </c>
      <c r="K37" s="158">
        <v>688315.0</v>
      </c>
      <c r="L37" s="158">
        <v>12.09</v>
      </c>
      <c r="M37" s="160"/>
    </row>
    <row r="38" ht="15.75" customHeight="1">
      <c r="A38" s="158" t="s">
        <v>129</v>
      </c>
      <c r="B38" s="158">
        <v>2019.0</v>
      </c>
      <c r="C38" s="158" t="s">
        <v>130</v>
      </c>
      <c r="D38" s="158">
        <v>80.0</v>
      </c>
      <c r="E38" s="158">
        <v>0.074484</v>
      </c>
      <c r="F38" s="158">
        <v>0.313958</v>
      </c>
      <c r="G38" s="158">
        <v>2.5</v>
      </c>
      <c r="H38" s="158">
        <v>45002.0</v>
      </c>
      <c r="I38" s="158">
        <v>14129.0</v>
      </c>
      <c r="J38" s="158">
        <v>189688.0</v>
      </c>
      <c r="K38" s="158">
        <v>433509.0</v>
      </c>
      <c r="L38" s="158">
        <v>9.63</v>
      </c>
      <c r="M38" s="160"/>
    </row>
    <row r="39" ht="15.75" customHeight="1">
      <c r="A39" s="158" t="s">
        <v>129</v>
      </c>
      <c r="B39" s="158">
        <v>2019.0</v>
      </c>
      <c r="C39" s="158" t="s">
        <v>130</v>
      </c>
      <c r="D39" s="158">
        <v>85.0</v>
      </c>
      <c r="E39" s="158">
        <v>0.126623</v>
      </c>
      <c r="F39" s="158">
        <v>1.0</v>
      </c>
      <c r="G39" s="158" t="s">
        <v>131</v>
      </c>
      <c r="H39" s="158">
        <v>30873.0</v>
      </c>
      <c r="I39" s="158">
        <v>30873.0</v>
      </c>
      <c r="J39" s="158">
        <v>243821.0</v>
      </c>
      <c r="K39" s="158">
        <v>243821.0</v>
      </c>
      <c r="L39" s="158">
        <v>7.9</v>
      </c>
      <c r="M39" s="160"/>
    </row>
    <row r="40" ht="15.75" customHeight="1">
      <c r="A40" s="156" t="s">
        <v>129</v>
      </c>
      <c r="B40" s="156">
        <v>2021.0</v>
      </c>
      <c r="C40" s="156" t="s">
        <v>130</v>
      </c>
      <c r="D40" s="156">
        <v>0.0</v>
      </c>
      <c r="E40" s="156">
        <v>0.011246</v>
      </c>
      <c r="F40" s="156">
        <v>0.011131</v>
      </c>
      <c r="G40" s="156">
        <v>0.08</v>
      </c>
      <c r="H40" s="157">
        <v>100000.0</v>
      </c>
      <c r="I40" s="156">
        <v>1113.0</v>
      </c>
      <c r="J40" s="156">
        <v>98971.0</v>
      </c>
      <c r="K40" s="156">
        <v>6907097.0</v>
      </c>
      <c r="L40" s="156">
        <v>69.07</v>
      </c>
      <c r="M40" s="161"/>
      <c r="N40" s="161"/>
      <c r="O40" s="161"/>
      <c r="P40" s="161"/>
    </row>
    <row r="41" ht="15.75" customHeight="1">
      <c r="A41" s="156" t="s">
        <v>129</v>
      </c>
      <c r="B41" s="156">
        <v>2021.0</v>
      </c>
      <c r="C41" s="156" t="s">
        <v>130</v>
      </c>
      <c r="D41" s="156">
        <v>1.0</v>
      </c>
      <c r="E41" s="156">
        <v>4.74E-4</v>
      </c>
      <c r="F41" s="156">
        <v>0.001894</v>
      </c>
      <c r="G41" s="156">
        <v>1.62</v>
      </c>
      <c r="H41" s="156">
        <v>98887.0</v>
      </c>
      <c r="I41" s="156">
        <v>187.0</v>
      </c>
      <c r="J41" s="156">
        <v>395102.0</v>
      </c>
      <c r="K41" s="156">
        <v>6808126.0</v>
      </c>
      <c r="L41" s="156">
        <v>68.85</v>
      </c>
      <c r="M41" s="161"/>
      <c r="N41" s="161"/>
      <c r="O41" s="161"/>
      <c r="P41" s="161"/>
    </row>
    <row r="42" ht="15.75" customHeight="1">
      <c r="A42" s="156" t="s">
        <v>129</v>
      </c>
      <c r="B42" s="156">
        <v>2021.0</v>
      </c>
      <c r="C42" s="156" t="s">
        <v>130</v>
      </c>
      <c r="D42" s="156">
        <v>5.0</v>
      </c>
      <c r="E42" s="156">
        <v>1.8E-4</v>
      </c>
      <c r="F42" s="156">
        <v>9.01E-4</v>
      </c>
      <c r="G42" s="156">
        <v>2.5</v>
      </c>
      <c r="H42" s="156">
        <v>98700.0</v>
      </c>
      <c r="I42" s="156">
        <v>89.0</v>
      </c>
      <c r="J42" s="156">
        <v>493276.0</v>
      </c>
      <c r="K42" s="156">
        <v>6413024.0</v>
      </c>
      <c r="L42" s="156">
        <v>64.98</v>
      </c>
      <c r="M42" s="161"/>
      <c r="N42" s="161"/>
      <c r="O42" s="161"/>
      <c r="P42" s="161"/>
    </row>
    <row r="43" ht="15.75" customHeight="1">
      <c r="A43" s="156" t="s">
        <v>129</v>
      </c>
      <c r="B43" s="156">
        <v>2021.0</v>
      </c>
      <c r="C43" s="156" t="s">
        <v>130</v>
      </c>
      <c r="D43" s="156">
        <v>10.0</v>
      </c>
      <c r="E43" s="156">
        <v>3.29E-4</v>
      </c>
      <c r="F43" s="156">
        <v>0.001644</v>
      </c>
      <c r="G43" s="156">
        <v>2.5</v>
      </c>
      <c r="H43" s="156">
        <v>98611.0</v>
      </c>
      <c r="I43" s="156">
        <v>162.0</v>
      </c>
      <c r="J43" s="156">
        <v>492648.0</v>
      </c>
      <c r="K43" s="156">
        <v>5919748.0</v>
      </c>
      <c r="L43" s="156">
        <v>60.03</v>
      </c>
      <c r="M43" s="161"/>
      <c r="N43" s="161"/>
      <c r="O43" s="161"/>
      <c r="P43" s="161"/>
    </row>
    <row r="44" ht="15.75" customHeight="1">
      <c r="A44" s="156" t="s">
        <v>129</v>
      </c>
      <c r="B44" s="156">
        <v>2021.0</v>
      </c>
      <c r="C44" s="156" t="s">
        <v>130</v>
      </c>
      <c r="D44" s="156">
        <v>15.0</v>
      </c>
      <c r="E44" s="156">
        <v>9.65E-4</v>
      </c>
      <c r="F44" s="156">
        <v>0.004814</v>
      </c>
      <c r="G44" s="156">
        <v>2.5</v>
      </c>
      <c r="H44" s="156">
        <v>98449.0</v>
      </c>
      <c r="I44" s="156">
        <v>474.0</v>
      </c>
      <c r="J44" s="156">
        <v>491058.0</v>
      </c>
      <c r="K44" s="156">
        <v>5427100.0</v>
      </c>
      <c r="L44" s="156">
        <v>55.13</v>
      </c>
      <c r="M44" s="161"/>
      <c r="N44" s="161"/>
      <c r="O44" s="161"/>
      <c r="P44" s="161"/>
    </row>
    <row r="45" ht="15.75" customHeight="1">
      <c r="A45" s="156" t="s">
        <v>129</v>
      </c>
      <c r="B45" s="156">
        <v>2021.0</v>
      </c>
      <c r="C45" s="156" t="s">
        <v>130</v>
      </c>
      <c r="D45" s="156">
        <v>20.0</v>
      </c>
      <c r="E45" s="156">
        <v>0.001922</v>
      </c>
      <c r="F45" s="156">
        <v>0.009562</v>
      </c>
      <c r="G45" s="156">
        <v>2.5</v>
      </c>
      <c r="H45" s="156">
        <v>97975.0</v>
      </c>
      <c r="I45" s="156">
        <v>937.0</v>
      </c>
      <c r="J45" s="156">
        <v>487531.0</v>
      </c>
      <c r="K45" s="156">
        <v>4936042.0</v>
      </c>
      <c r="L45" s="156">
        <v>50.38</v>
      </c>
      <c r="M45" s="161"/>
      <c r="N45" s="161"/>
      <c r="O45" s="161"/>
      <c r="P45" s="161"/>
    </row>
    <row r="46" ht="15.75" customHeight="1">
      <c r="A46" s="156" t="s">
        <v>129</v>
      </c>
      <c r="B46" s="156">
        <v>2021.0</v>
      </c>
      <c r="C46" s="156" t="s">
        <v>130</v>
      </c>
      <c r="D46" s="156">
        <v>25.0</v>
      </c>
      <c r="E46" s="156">
        <v>0.002985</v>
      </c>
      <c r="F46" s="156">
        <v>0.014814</v>
      </c>
      <c r="G46" s="156">
        <v>2.5</v>
      </c>
      <c r="H46" s="156">
        <v>97038.0</v>
      </c>
      <c r="I46" s="156">
        <v>1438.0</v>
      </c>
      <c r="J46" s="156">
        <v>481595.0</v>
      </c>
      <c r="K46" s="156">
        <v>4448511.0</v>
      </c>
      <c r="L46" s="156">
        <v>45.84</v>
      </c>
      <c r="M46" s="161"/>
      <c r="N46" s="161"/>
      <c r="O46" s="161"/>
      <c r="P46" s="161"/>
    </row>
    <row r="47" ht="15.75" customHeight="1">
      <c r="A47" s="156" t="s">
        <v>129</v>
      </c>
      <c r="B47" s="156">
        <v>2021.0</v>
      </c>
      <c r="C47" s="156" t="s">
        <v>130</v>
      </c>
      <c r="D47" s="156">
        <v>30.0</v>
      </c>
      <c r="E47" s="156">
        <v>0.003582</v>
      </c>
      <c r="F47" s="156">
        <v>0.017753</v>
      </c>
      <c r="G47" s="156">
        <v>2.5</v>
      </c>
      <c r="H47" s="156">
        <v>95600.0</v>
      </c>
      <c r="I47" s="156">
        <v>1697.0</v>
      </c>
      <c r="J47" s="156">
        <v>473758.0</v>
      </c>
      <c r="K47" s="156">
        <v>3966916.0</v>
      </c>
      <c r="L47" s="156">
        <v>41.49</v>
      </c>
      <c r="M47" s="162"/>
      <c r="N47" s="162"/>
      <c r="O47" s="162"/>
      <c r="P47" s="161"/>
    </row>
    <row r="48" ht="15.75" customHeight="1">
      <c r="A48" s="156" t="s">
        <v>129</v>
      </c>
      <c r="B48" s="156">
        <v>2021.0</v>
      </c>
      <c r="C48" s="156" t="s">
        <v>130</v>
      </c>
      <c r="D48" s="156">
        <v>35.0</v>
      </c>
      <c r="E48" s="156">
        <v>0.00448</v>
      </c>
      <c r="F48" s="156">
        <v>0.022154</v>
      </c>
      <c r="G48" s="156">
        <v>2.5</v>
      </c>
      <c r="H48" s="156">
        <v>93903.0</v>
      </c>
      <c r="I48" s="156">
        <v>2080.0</v>
      </c>
      <c r="J48" s="156">
        <v>464314.0</v>
      </c>
      <c r="K48" s="156">
        <v>3493157.0</v>
      </c>
      <c r="L48" s="156">
        <v>37.2</v>
      </c>
      <c r="M48" s="162"/>
      <c r="N48" s="162"/>
      <c r="O48" s="162"/>
      <c r="P48" s="161"/>
    </row>
    <row r="49" ht="15.75" customHeight="1">
      <c r="A49" s="156" t="s">
        <v>129</v>
      </c>
      <c r="B49" s="156">
        <v>2021.0</v>
      </c>
      <c r="C49" s="156" t="s">
        <v>130</v>
      </c>
      <c r="D49" s="156">
        <v>40.0</v>
      </c>
      <c r="E49" s="156">
        <v>0.006002</v>
      </c>
      <c r="F49" s="156">
        <v>0.029565</v>
      </c>
      <c r="G49" s="156">
        <v>2.5</v>
      </c>
      <c r="H49" s="156">
        <v>91823.0</v>
      </c>
      <c r="I49" s="156">
        <v>2715.0</v>
      </c>
      <c r="J49" s="156">
        <v>452327.0</v>
      </c>
      <c r="K49" s="156">
        <v>3028843.0</v>
      </c>
      <c r="L49" s="156">
        <v>32.99</v>
      </c>
      <c r="M49" s="162"/>
      <c r="N49" s="162"/>
      <c r="O49" s="162"/>
      <c r="P49" s="161"/>
    </row>
    <row r="50" ht="15.75" customHeight="1">
      <c r="A50" s="156" t="s">
        <v>129</v>
      </c>
      <c r="B50" s="156">
        <v>2021.0</v>
      </c>
      <c r="C50" s="156" t="s">
        <v>130</v>
      </c>
      <c r="D50" s="156">
        <v>45.0</v>
      </c>
      <c r="E50" s="156">
        <v>0.008562</v>
      </c>
      <c r="F50" s="156">
        <v>0.041911</v>
      </c>
      <c r="G50" s="156">
        <v>2.5</v>
      </c>
      <c r="H50" s="156">
        <v>89108.0</v>
      </c>
      <c r="I50" s="156">
        <v>3735.0</v>
      </c>
      <c r="J50" s="156">
        <v>436204.0</v>
      </c>
      <c r="K50" s="156">
        <v>2576516.0</v>
      </c>
      <c r="L50" s="156">
        <v>28.91</v>
      </c>
      <c r="M50" s="162"/>
      <c r="N50" s="162"/>
      <c r="O50" s="162"/>
      <c r="P50" s="161"/>
    </row>
    <row r="51" ht="15.75" customHeight="1">
      <c r="A51" s="156" t="s">
        <v>129</v>
      </c>
      <c r="B51" s="156">
        <v>2021.0</v>
      </c>
      <c r="C51" s="156" t="s">
        <v>130</v>
      </c>
      <c r="D51" s="156">
        <v>50.0</v>
      </c>
      <c r="E51" s="156">
        <v>0.011685</v>
      </c>
      <c r="F51" s="156">
        <v>0.056766</v>
      </c>
      <c r="G51" s="156">
        <v>2.5</v>
      </c>
      <c r="H51" s="156">
        <v>85373.0</v>
      </c>
      <c r="I51" s="156">
        <v>4846.0</v>
      </c>
      <c r="J51" s="156">
        <v>414752.0</v>
      </c>
      <c r="K51" s="156">
        <v>2140312.0</v>
      </c>
      <c r="L51" s="156">
        <v>25.07</v>
      </c>
      <c r="M51" s="162"/>
      <c r="N51" s="162"/>
      <c r="O51" s="162"/>
      <c r="P51" s="161"/>
    </row>
    <row r="52" ht="15.75" customHeight="1">
      <c r="A52" s="156" t="s">
        <v>129</v>
      </c>
      <c r="B52" s="156">
        <v>2021.0</v>
      </c>
      <c r="C52" s="156" t="s">
        <v>130</v>
      </c>
      <c r="D52" s="156">
        <v>55.0</v>
      </c>
      <c r="E52" s="156">
        <v>0.017668</v>
      </c>
      <c r="F52" s="156">
        <v>0.084603</v>
      </c>
      <c r="G52" s="156">
        <v>2.5</v>
      </c>
      <c r="H52" s="156">
        <v>80527.0</v>
      </c>
      <c r="I52" s="156">
        <v>6813.0</v>
      </c>
      <c r="J52" s="156">
        <v>385604.0</v>
      </c>
      <c r="K52" s="156">
        <v>1725561.0</v>
      </c>
      <c r="L52" s="156">
        <v>21.43</v>
      </c>
      <c r="M52" s="162"/>
      <c r="N52" s="162"/>
      <c r="O52" s="162"/>
      <c r="P52" s="161"/>
    </row>
    <row r="53" ht="15.75" customHeight="1">
      <c r="A53" s="156" t="s">
        <v>129</v>
      </c>
      <c r="B53" s="156">
        <v>2021.0</v>
      </c>
      <c r="C53" s="156" t="s">
        <v>130</v>
      </c>
      <c r="D53" s="156">
        <v>60.0</v>
      </c>
      <c r="E53" s="156">
        <v>0.023194</v>
      </c>
      <c r="F53" s="156">
        <v>0.109615</v>
      </c>
      <c r="G53" s="156">
        <v>2.5</v>
      </c>
      <c r="H53" s="156">
        <v>73714.0</v>
      </c>
      <c r="I53" s="156">
        <v>8080.0</v>
      </c>
      <c r="J53" s="156">
        <v>348371.0</v>
      </c>
      <c r="K53" s="156">
        <v>1339957.0</v>
      </c>
      <c r="L53" s="156">
        <v>18.18</v>
      </c>
      <c r="M53" s="162"/>
      <c r="N53" s="162"/>
      <c r="O53" s="162"/>
      <c r="P53" s="161"/>
    </row>
    <row r="54" ht="15.75" customHeight="1">
      <c r="A54" s="156" t="s">
        <v>129</v>
      </c>
      <c r="B54" s="156">
        <v>2021.0</v>
      </c>
      <c r="C54" s="156" t="s">
        <v>130</v>
      </c>
      <c r="D54" s="156">
        <v>65.0</v>
      </c>
      <c r="E54" s="156">
        <v>0.032664</v>
      </c>
      <c r="F54" s="156">
        <v>0.15099</v>
      </c>
      <c r="G54" s="156">
        <v>2.5</v>
      </c>
      <c r="H54" s="156">
        <v>65634.0</v>
      </c>
      <c r="I54" s="156">
        <v>9910.0</v>
      </c>
      <c r="J54" s="156">
        <v>303395.0</v>
      </c>
      <c r="K54" s="156">
        <v>991586.0</v>
      </c>
      <c r="L54" s="156">
        <v>15.11</v>
      </c>
      <c r="M54" s="162"/>
      <c r="N54" s="162"/>
      <c r="O54" s="162"/>
      <c r="P54" s="161"/>
    </row>
    <row r="55" ht="15.75" customHeight="1">
      <c r="A55" s="156" t="s">
        <v>129</v>
      </c>
      <c r="B55" s="156">
        <v>2021.0</v>
      </c>
      <c r="C55" s="156" t="s">
        <v>130</v>
      </c>
      <c r="D55" s="156">
        <v>70.0</v>
      </c>
      <c r="E55" s="156">
        <v>0.046052</v>
      </c>
      <c r="F55" s="156">
        <v>0.206489</v>
      </c>
      <c r="G55" s="156">
        <v>2.5</v>
      </c>
      <c r="H55" s="156">
        <v>55724.0</v>
      </c>
      <c r="I55" s="156">
        <v>11506.0</v>
      </c>
      <c r="J55" s="156">
        <v>249854.0</v>
      </c>
      <c r="K55" s="156">
        <v>688190.0</v>
      </c>
      <c r="L55" s="156">
        <v>12.35</v>
      </c>
      <c r="M55" s="162"/>
      <c r="N55" s="162"/>
      <c r="O55" s="162"/>
      <c r="P55" s="161"/>
    </row>
    <row r="56" ht="15.75" customHeight="1">
      <c r="A56" s="156" t="s">
        <v>129</v>
      </c>
      <c r="B56" s="156">
        <v>2021.0</v>
      </c>
      <c r="C56" s="156" t="s">
        <v>130</v>
      </c>
      <c r="D56" s="156">
        <v>75.0</v>
      </c>
      <c r="E56" s="156">
        <v>0.063731</v>
      </c>
      <c r="F56" s="156">
        <v>0.274861</v>
      </c>
      <c r="G56" s="156">
        <v>2.5</v>
      </c>
      <c r="H56" s="156">
        <v>44218.0</v>
      </c>
      <c r="I56" s="156">
        <v>12154.0</v>
      </c>
      <c r="J56" s="156">
        <v>190704.0</v>
      </c>
      <c r="K56" s="156">
        <v>438336.0</v>
      </c>
      <c r="L56" s="156">
        <v>9.91</v>
      </c>
      <c r="M56" s="162"/>
      <c r="N56" s="162"/>
      <c r="O56" s="162"/>
      <c r="P56" s="161"/>
    </row>
    <row r="57" ht="15.75" customHeight="1">
      <c r="A57" s="156" t="s">
        <v>129</v>
      </c>
      <c r="B57" s="156">
        <v>2021.0</v>
      </c>
      <c r="C57" s="156" t="s">
        <v>130</v>
      </c>
      <c r="D57" s="156">
        <v>80.0</v>
      </c>
      <c r="E57" s="156">
        <v>0.097217</v>
      </c>
      <c r="F57" s="156">
        <v>0.391045</v>
      </c>
      <c r="G57" s="156">
        <v>2.5</v>
      </c>
      <c r="H57" s="156">
        <v>32064.0</v>
      </c>
      <c r="I57" s="156">
        <v>12538.0</v>
      </c>
      <c r="J57" s="156">
        <v>128973.0</v>
      </c>
      <c r="K57" s="156">
        <v>247632.0</v>
      </c>
      <c r="L57" s="156">
        <v>7.72</v>
      </c>
      <c r="M57" s="162"/>
      <c r="N57" s="162"/>
      <c r="O57" s="162"/>
      <c r="P57" s="161"/>
    </row>
    <row r="58" ht="15.75" customHeight="1">
      <c r="A58" s="156" t="s">
        <v>129</v>
      </c>
      <c r="B58" s="156">
        <v>2021.0</v>
      </c>
      <c r="C58" s="156" t="s">
        <v>130</v>
      </c>
      <c r="D58" s="156">
        <v>85.0</v>
      </c>
      <c r="E58" s="156">
        <v>0.164551</v>
      </c>
      <c r="F58" s="156">
        <v>1.0</v>
      </c>
      <c r="G58" s="156" t="s">
        <v>131</v>
      </c>
      <c r="H58" s="156">
        <v>19525.0</v>
      </c>
      <c r="I58" s="156">
        <v>19525.0</v>
      </c>
      <c r="J58" s="156">
        <v>118659.0</v>
      </c>
      <c r="K58" s="156">
        <v>118659.0</v>
      </c>
      <c r="L58" s="156">
        <v>6.08</v>
      </c>
      <c r="M58" s="162"/>
      <c r="N58" s="162"/>
      <c r="O58" s="162"/>
      <c r="P58" s="161"/>
    </row>
    <row r="59" ht="15.75" customHeight="1">
      <c r="A59" s="156" t="s">
        <v>129</v>
      </c>
      <c r="B59" s="156">
        <v>2010.0</v>
      </c>
      <c r="C59" s="156" t="s">
        <v>132</v>
      </c>
      <c r="D59" s="156">
        <v>0.0</v>
      </c>
      <c r="E59" s="156">
        <v>0.013633</v>
      </c>
      <c r="F59" s="156">
        <v>0.013466</v>
      </c>
      <c r="G59" s="156">
        <v>0.09</v>
      </c>
      <c r="H59" s="157">
        <v>100000.0</v>
      </c>
      <c r="I59" s="156">
        <v>1347.0</v>
      </c>
      <c r="J59" s="156">
        <v>98776.0</v>
      </c>
      <c r="K59" s="156">
        <v>7818025.0</v>
      </c>
      <c r="L59" s="156">
        <v>78.18</v>
      </c>
      <c r="M59" s="162"/>
      <c r="N59" s="162"/>
      <c r="O59" s="162"/>
      <c r="P59" s="161"/>
    </row>
    <row r="60" ht="15.75" customHeight="1">
      <c r="A60" s="156" t="s">
        <v>129</v>
      </c>
      <c r="B60" s="156">
        <v>2010.0</v>
      </c>
      <c r="C60" s="156" t="s">
        <v>132</v>
      </c>
      <c r="D60" s="156">
        <v>1.0</v>
      </c>
      <c r="E60" s="156">
        <v>6.29E-4</v>
      </c>
      <c r="F60" s="156">
        <v>0.002513</v>
      </c>
      <c r="G60" s="156">
        <v>1.5</v>
      </c>
      <c r="H60" s="156">
        <v>98653.0</v>
      </c>
      <c r="I60" s="156">
        <v>248.0</v>
      </c>
      <c r="J60" s="156">
        <v>393994.0</v>
      </c>
      <c r="K60" s="156">
        <v>7719249.0</v>
      </c>
      <c r="L60" s="156">
        <v>78.25</v>
      </c>
      <c r="M60" s="162"/>
      <c r="N60" s="162"/>
      <c r="O60" s="162"/>
      <c r="P60" s="161"/>
    </row>
    <row r="61" ht="15.75" customHeight="1">
      <c r="A61" s="156" t="s">
        <v>129</v>
      </c>
      <c r="B61" s="156">
        <v>2010.0</v>
      </c>
      <c r="C61" s="156" t="s">
        <v>132</v>
      </c>
      <c r="D61" s="156">
        <v>5.0</v>
      </c>
      <c r="E61" s="156">
        <v>2.54E-4</v>
      </c>
      <c r="F61" s="156">
        <v>0.001269</v>
      </c>
      <c r="G61" s="156">
        <v>2.5</v>
      </c>
      <c r="H61" s="156">
        <v>98406.0</v>
      </c>
      <c r="I61" s="156">
        <v>125.0</v>
      </c>
      <c r="J61" s="156">
        <v>491715.0</v>
      </c>
      <c r="K61" s="156">
        <v>7325255.0</v>
      </c>
      <c r="L61" s="156">
        <v>74.44</v>
      </c>
      <c r="M61" s="162"/>
      <c r="N61" s="162"/>
      <c r="O61" s="162"/>
      <c r="P61" s="161"/>
    </row>
    <row r="62" ht="15.75" customHeight="1">
      <c r="A62" s="156" t="s">
        <v>129</v>
      </c>
      <c r="B62" s="156">
        <v>2010.0</v>
      </c>
      <c r="C62" s="156" t="s">
        <v>132</v>
      </c>
      <c r="D62" s="156">
        <v>10.0</v>
      </c>
      <c r="E62" s="156">
        <v>3.04E-4</v>
      </c>
      <c r="F62" s="156">
        <v>0.001521</v>
      </c>
      <c r="G62" s="156">
        <v>2.5</v>
      </c>
      <c r="H62" s="156">
        <v>98281.0</v>
      </c>
      <c r="I62" s="156">
        <v>149.0</v>
      </c>
      <c r="J62" s="156">
        <v>491030.0</v>
      </c>
      <c r="K62" s="156">
        <v>6833539.0</v>
      </c>
      <c r="L62" s="156">
        <v>69.53</v>
      </c>
      <c r="M62" s="162"/>
      <c r="N62" s="162"/>
      <c r="O62" s="162"/>
      <c r="P62" s="161"/>
    </row>
    <row r="63" ht="15.75" customHeight="1">
      <c r="A63" s="156" t="s">
        <v>129</v>
      </c>
      <c r="B63" s="156">
        <v>2010.0</v>
      </c>
      <c r="C63" s="156" t="s">
        <v>132</v>
      </c>
      <c r="D63" s="156">
        <v>15.0</v>
      </c>
      <c r="E63" s="156">
        <v>5.07E-4</v>
      </c>
      <c r="F63" s="156">
        <v>0.002531</v>
      </c>
      <c r="G63" s="156">
        <v>2.5</v>
      </c>
      <c r="H63" s="156">
        <v>98131.0</v>
      </c>
      <c r="I63" s="156">
        <v>248.0</v>
      </c>
      <c r="J63" s="156">
        <v>490035.0</v>
      </c>
      <c r="K63" s="156">
        <v>6342510.0</v>
      </c>
      <c r="L63" s="156">
        <v>64.63</v>
      </c>
      <c r="M63" s="162"/>
      <c r="N63" s="162"/>
      <c r="O63" s="162"/>
      <c r="P63" s="161"/>
    </row>
    <row r="64" ht="15.75" customHeight="1">
      <c r="A64" s="156" t="s">
        <v>129</v>
      </c>
      <c r="B64" s="156">
        <v>2010.0</v>
      </c>
      <c r="C64" s="156" t="s">
        <v>132</v>
      </c>
      <c r="D64" s="156">
        <v>20.0</v>
      </c>
      <c r="E64" s="156">
        <v>6.58E-4</v>
      </c>
      <c r="F64" s="156">
        <v>0.003284</v>
      </c>
      <c r="G64" s="156">
        <v>2.5</v>
      </c>
      <c r="H64" s="156">
        <v>97883.0</v>
      </c>
      <c r="I64" s="156">
        <v>321.0</v>
      </c>
      <c r="J64" s="156">
        <v>488611.0</v>
      </c>
      <c r="K64" s="156">
        <v>5852474.0</v>
      </c>
      <c r="L64" s="156">
        <v>59.79</v>
      </c>
      <c r="M64" s="162"/>
      <c r="N64" s="162"/>
      <c r="O64" s="162"/>
      <c r="P64" s="161"/>
    </row>
    <row r="65" ht="15.75" customHeight="1">
      <c r="A65" s="156" t="s">
        <v>129</v>
      </c>
      <c r="B65" s="156">
        <v>2010.0</v>
      </c>
      <c r="C65" s="156" t="s">
        <v>132</v>
      </c>
      <c r="D65" s="156">
        <v>25.0</v>
      </c>
      <c r="E65" s="156">
        <v>7.85E-4</v>
      </c>
      <c r="F65" s="156">
        <v>0.003918</v>
      </c>
      <c r="G65" s="156">
        <v>2.5</v>
      </c>
      <c r="H65" s="156">
        <v>97561.0</v>
      </c>
      <c r="I65" s="156">
        <v>382.0</v>
      </c>
      <c r="J65" s="156">
        <v>486851.0</v>
      </c>
      <c r="K65" s="156">
        <v>5363864.0</v>
      </c>
      <c r="L65" s="156">
        <v>54.98</v>
      </c>
      <c r="M65" s="162"/>
      <c r="N65" s="162"/>
      <c r="O65" s="162"/>
      <c r="P65" s="161"/>
    </row>
    <row r="66" ht="15.75" customHeight="1">
      <c r="A66" s="156" t="s">
        <v>129</v>
      </c>
      <c r="B66" s="156">
        <v>2010.0</v>
      </c>
      <c r="C66" s="156" t="s">
        <v>132</v>
      </c>
      <c r="D66" s="156">
        <v>30.0</v>
      </c>
      <c r="E66" s="156">
        <v>9.57E-4</v>
      </c>
      <c r="F66" s="156">
        <v>0.004774</v>
      </c>
      <c r="G66" s="156">
        <v>2.5</v>
      </c>
      <c r="H66" s="156">
        <v>97179.0</v>
      </c>
      <c r="I66" s="156">
        <v>464.0</v>
      </c>
      <c r="J66" s="156">
        <v>484736.0</v>
      </c>
      <c r="K66" s="156">
        <v>4877013.0</v>
      </c>
      <c r="L66" s="156">
        <v>50.19</v>
      </c>
    </row>
    <row r="67" ht="15.75" customHeight="1">
      <c r="A67" s="156" t="s">
        <v>129</v>
      </c>
      <c r="B67" s="156">
        <v>2010.0</v>
      </c>
      <c r="C67" s="156" t="s">
        <v>132</v>
      </c>
      <c r="D67" s="156">
        <v>35.0</v>
      </c>
      <c r="E67" s="156">
        <v>0.001254</v>
      </c>
      <c r="F67" s="156">
        <v>0.00625</v>
      </c>
      <c r="G67" s="156">
        <v>2.5</v>
      </c>
      <c r="H67" s="156">
        <v>96715.0</v>
      </c>
      <c r="I67" s="156">
        <v>604.0</v>
      </c>
      <c r="J67" s="156">
        <v>482065.0</v>
      </c>
      <c r="K67" s="156">
        <v>4392276.0</v>
      </c>
      <c r="L67" s="156">
        <v>45.41</v>
      </c>
    </row>
    <row r="68" ht="15.75" customHeight="1">
      <c r="A68" s="156" t="s">
        <v>129</v>
      </c>
      <c r="B68" s="156">
        <v>2010.0</v>
      </c>
      <c r="C68" s="156" t="s">
        <v>132</v>
      </c>
      <c r="D68" s="156">
        <v>40.0</v>
      </c>
      <c r="E68" s="156">
        <v>0.001788</v>
      </c>
      <c r="F68" s="156">
        <v>0.008902</v>
      </c>
      <c r="G68" s="156">
        <v>2.5</v>
      </c>
      <c r="H68" s="156">
        <v>96111.0</v>
      </c>
      <c r="I68" s="156">
        <v>856.0</v>
      </c>
      <c r="J68" s="156">
        <v>478415.0</v>
      </c>
      <c r="K68" s="156">
        <v>3910211.0</v>
      </c>
      <c r="L68" s="156">
        <v>40.68</v>
      </c>
    </row>
    <row r="69" ht="15.75" customHeight="1">
      <c r="A69" s="156" t="s">
        <v>129</v>
      </c>
      <c r="B69" s="156">
        <v>2010.0</v>
      </c>
      <c r="C69" s="156" t="s">
        <v>132</v>
      </c>
      <c r="D69" s="156">
        <v>45.0</v>
      </c>
      <c r="E69" s="156">
        <v>0.002955</v>
      </c>
      <c r="F69" s="156">
        <v>0.014666</v>
      </c>
      <c r="G69" s="156">
        <v>2.5</v>
      </c>
      <c r="H69" s="156">
        <v>95255.0</v>
      </c>
      <c r="I69" s="156">
        <v>1397.0</v>
      </c>
      <c r="J69" s="156">
        <v>472784.0</v>
      </c>
      <c r="K69" s="156">
        <v>3431797.0</v>
      </c>
      <c r="L69" s="156">
        <v>36.03</v>
      </c>
    </row>
    <row r="70" ht="15.75" customHeight="1">
      <c r="A70" s="156" t="s">
        <v>129</v>
      </c>
      <c r="B70" s="156">
        <v>2010.0</v>
      </c>
      <c r="C70" s="156" t="s">
        <v>132</v>
      </c>
      <c r="D70" s="156">
        <v>50.0</v>
      </c>
      <c r="E70" s="156">
        <v>0.004469</v>
      </c>
      <c r="F70" s="156">
        <v>0.022097</v>
      </c>
      <c r="G70" s="156">
        <v>2.5</v>
      </c>
      <c r="H70" s="156">
        <v>93858.0</v>
      </c>
      <c r="I70" s="156">
        <v>2074.0</v>
      </c>
      <c r="J70" s="156">
        <v>464106.0</v>
      </c>
      <c r="K70" s="156">
        <v>2959013.0</v>
      </c>
      <c r="L70" s="156">
        <v>31.53</v>
      </c>
    </row>
    <row r="71" ht="15.75" customHeight="1">
      <c r="A71" s="156" t="s">
        <v>129</v>
      </c>
      <c r="B71" s="156">
        <v>2010.0</v>
      </c>
      <c r="C71" s="156" t="s">
        <v>132</v>
      </c>
      <c r="D71" s="156">
        <v>55.0</v>
      </c>
      <c r="E71" s="156">
        <v>0.007272</v>
      </c>
      <c r="F71" s="156">
        <v>0.03571</v>
      </c>
      <c r="G71" s="156">
        <v>2.5</v>
      </c>
      <c r="H71" s="156">
        <v>91784.0</v>
      </c>
      <c r="I71" s="156">
        <v>3278.0</v>
      </c>
      <c r="J71" s="156">
        <v>450727.0</v>
      </c>
      <c r="K71" s="156">
        <v>2494907.0</v>
      </c>
      <c r="L71" s="156">
        <v>27.18</v>
      </c>
    </row>
    <row r="72" ht="15.75" customHeight="1">
      <c r="A72" s="156" t="s">
        <v>129</v>
      </c>
      <c r="B72" s="156">
        <v>2010.0</v>
      </c>
      <c r="C72" s="156" t="s">
        <v>132</v>
      </c>
      <c r="D72" s="156">
        <v>60.0</v>
      </c>
      <c r="E72" s="156">
        <v>0.010854</v>
      </c>
      <c r="F72" s="156">
        <v>0.052837</v>
      </c>
      <c r="G72" s="156">
        <v>2.5</v>
      </c>
      <c r="H72" s="156">
        <v>88507.0</v>
      </c>
      <c r="I72" s="156">
        <v>4676.0</v>
      </c>
      <c r="J72" s="156">
        <v>430842.0</v>
      </c>
      <c r="K72" s="156">
        <v>2044180.0</v>
      </c>
      <c r="L72" s="156">
        <v>23.1</v>
      </c>
    </row>
    <row r="73" ht="15.75" customHeight="1">
      <c r="A73" s="156" t="s">
        <v>129</v>
      </c>
      <c r="B73" s="156">
        <v>2010.0</v>
      </c>
      <c r="C73" s="156" t="s">
        <v>132</v>
      </c>
      <c r="D73" s="156">
        <v>65.0</v>
      </c>
      <c r="E73" s="156">
        <v>0.017619</v>
      </c>
      <c r="F73" s="156">
        <v>0.084378</v>
      </c>
      <c r="G73" s="156">
        <v>2.5</v>
      </c>
      <c r="H73" s="156">
        <v>83830.0</v>
      </c>
      <c r="I73" s="156">
        <v>7073.0</v>
      </c>
      <c r="J73" s="156">
        <v>401467.0</v>
      </c>
      <c r="K73" s="156">
        <v>1613338.0</v>
      </c>
      <c r="L73" s="156">
        <v>19.25</v>
      </c>
    </row>
    <row r="74" ht="15.75" customHeight="1">
      <c r="A74" s="156" t="s">
        <v>129</v>
      </c>
      <c r="B74" s="156">
        <v>2010.0</v>
      </c>
      <c r="C74" s="156" t="s">
        <v>132</v>
      </c>
      <c r="D74" s="156">
        <v>70.0</v>
      </c>
      <c r="E74" s="156">
        <v>0.024516</v>
      </c>
      <c r="F74" s="156">
        <v>0.1155</v>
      </c>
      <c r="G74" s="156">
        <v>2.5</v>
      </c>
      <c r="H74" s="156">
        <v>76757.0</v>
      </c>
      <c r="I74" s="156">
        <v>8865.0</v>
      </c>
      <c r="J74" s="156">
        <v>361620.0</v>
      </c>
      <c r="K74" s="156">
        <v>1211871.0</v>
      </c>
      <c r="L74" s="156">
        <v>15.79</v>
      </c>
      <c r="M74" s="163"/>
    </row>
    <row r="75" ht="15.75" customHeight="1">
      <c r="A75" s="156" t="s">
        <v>129</v>
      </c>
      <c r="B75" s="156">
        <v>2010.0</v>
      </c>
      <c r="C75" s="156" t="s">
        <v>132</v>
      </c>
      <c r="D75" s="156">
        <v>75.0</v>
      </c>
      <c r="E75" s="156">
        <v>0.04331</v>
      </c>
      <c r="F75" s="156">
        <v>0.195395</v>
      </c>
      <c r="G75" s="156">
        <v>2.5</v>
      </c>
      <c r="H75" s="156">
        <v>67891.0</v>
      </c>
      <c r="I75" s="156">
        <v>13266.0</v>
      </c>
      <c r="J75" s="156">
        <v>306293.0</v>
      </c>
      <c r="K75" s="156">
        <v>850250.0</v>
      </c>
      <c r="L75" s="156">
        <v>12.52</v>
      </c>
      <c r="M75" s="163"/>
    </row>
    <row r="76" ht="15.75" customHeight="1">
      <c r="A76" s="156" t="s">
        <v>129</v>
      </c>
      <c r="B76" s="156">
        <v>2010.0</v>
      </c>
      <c r="C76" s="156" t="s">
        <v>132</v>
      </c>
      <c r="D76" s="156">
        <v>80.0</v>
      </c>
      <c r="E76" s="156">
        <v>0.067622</v>
      </c>
      <c r="F76" s="156">
        <v>0.289215</v>
      </c>
      <c r="G76" s="156">
        <v>2.5</v>
      </c>
      <c r="H76" s="156">
        <v>54626.0</v>
      </c>
      <c r="I76" s="156">
        <v>15799.0</v>
      </c>
      <c r="J76" s="156">
        <v>233632.0</v>
      </c>
      <c r="K76" s="156">
        <v>543958.0</v>
      </c>
      <c r="L76" s="156">
        <v>9.96</v>
      </c>
      <c r="M76" s="163"/>
    </row>
    <row r="77" ht="15.75" customHeight="1">
      <c r="A77" s="156" t="s">
        <v>129</v>
      </c>
      <c r="B77" s="156">
        <v>2010.0</v>
      </c>
      <c r="C77" s="156" t="s">
        <v>132</v>
      </c>
      <c r="D77" s="156">
        <v>85.0</v>
      </c>
      <c r="E77" s="156">
        <v>0.125118</v>
      </c>
      <c r="F77" s="156">
        <v>1.0</v>
      </c>
      <c r="G77" s="156" t="s">
        <v>131</v>
      </c>
      <c r="H77" s="156">
        <v>38827.0</v>
      </c>
      <c r="I77" s="156">
        <v>38827.0</v>
      </c>
      <c r="J77" s="156">
        <v>310326.0</v>
      </c>
      <c r="K77" s="156">
        <v>310326.0</v>
      </c>
      <c r="L77" s="156">
        <v>7.99</v>
      </c>
      <c r="M77" s="163"/>
    </row>
    <row r="78" ht="15.75" customHeight="1">
      <c r="A78" s="164" t="s">
        <v>129</v>
      </c>
      <c r="B78" s="164">
        <v>2019.0</v>
      </c>
      <c r="C78" s="164" t="s">
        <v>132</v>
      </c>
      <c r="D78" s="164">
        <v>0.0</v>
      </c>
      <c r="E78" s="164">
        <v>0.011158</v>
      </c>
      <c r="F78" s="164">
        <v>0.011045</v>
      </c>
      <c r="G78" s="164">
        <v>0.08</v>
      </c>
      <c r="H78" s="165">
        <v>100000.0</v>
      </c>
      <c r="I78" s="164">
        <v>1105.0</v>
      </c>
      <c r="J78" s="164">
        <v>98989.0</v>
      </c>
      <c r="K78" s="164">
        <v>7910972.0</v>
      </c>
      <c r="L78" s="164">
        <v>79.11</v>
      </c>
      <c r="M78" s="163"/>
    </row>
    <row r="79" ht="15.75" customHeight="1">
      <c r="A79" s="164" t="s">
        <v>129</v>
      </c>
      <c r="B79" s="164">
        <v>2019.0</v>
      </c>
      <c r="C79" s="164" t="s">
        <v>132</v>
      </c>
      <c r="D79" s="164">
        <v>1.0</v>
      </c>
      <c r="E79" s="164">
        <v>4.94E-4</v>
      </c>
      <c r="F79" s="164">
        <v>0.001974</v>
      </c>
      <c r="G79" s="164">
        <v>1.51</v>
      </c>
      <c r="H79" s="164">
        <v>98895.0</v>
      </c>
      <c r="I79" s="164">
        <v>195.0</v>
      </c>
      <c r="J79" s="164">
        <v>395095.0</v>
      </c>
      <c r="K79" s="164">
        <v>7811983.0</v>
      </c>
      <c r="L79" s="164">
        <v>78.99</v>
      </c>
      <c r="M79" s="163"/>
    </row>
    <row r="80" ht="15.75" customHeight="1">
      <c r="A80" s="164" t="s">
        <v>129</v>
      </c>
      <c r="B80" s="164">
        <v>2019.0</v>
      </c>
      <c r="C80" s="164" t="s">
        <v>132</v>
      </c>
      <c r="D80" s="164">
        <v>5.0</v>
      </c>
      <c r="E80" s="164">
        <v>2.33E-4</v>
      </c>
      <c r="F80" s="164">
        <v>0.001163</v>
      </c>
      <c r="G80" s="164">
        <v>2.5</v>
      </c>
      <c r="H80" s="164">
        <v>98700.0</v>
      </c>
      <c r="I80" s="164">
        <v>115.0</v>
      </c>
      <c r="J80" s="164">
        <v>493214.0</v>
      </c>
      <c r="K80" s="164">
        <v>7416888.0</v>
      </c>
      <c r="L80" s="164">
        <v>75.15</v>
      </c>
      <c r="M80" s="163"/>
    </row>
    <row r="81" ht="15.75" customHeight="1">
      <c r="A81" s="164" t="s">
        <v>129</v>
      </c>
      <c r="B81" s="164">
        <v>2019.0</v>
      </c>
      <c r="C81" s="164" t="s">
        <v>132</v>
      </c>
      <c r="D81" s="164">
        <v>10.0</v>
      </c>
      <c r="E81" s="164">
        <v>2.35E-4</v>
      </c>
      <c r="F81" s="164">
        <v>0.001176</v>
      </c>
      <c r="G81" s="164">
        <v>2.5</v>
      </c>
      <c r="H81" s="164">
        <v>98585.0</v>
      </c>
      <c r="I81" s="164">
        <v>116.0</v>
      </c>
      <c r="J81" s="164">
        <v>492637.0</v>
      </c>
      <c r="K81" s="164">
        <v>6923674.0</v>
      </c>
      <c r="L81" s="164">
        <v>70.23</v>
      </c>
      <c r="M81" s="163"/>
    </row>
    <row r="82" ht="15.75" customHeight="1">
      <c r="A82" s="164" t="s">
        <v>129</v>
      </c>
      <c r="B82" s="164">
        <v>2019.0</v>
      </c>
      <c r="C82" s="164" t="s">
        <v>132</v>
      </c>
      <c r="D82" s="164">
        <v>15.0</v>
      </c>
      <c r="E82" s="164">
        <v>3.96E-4</v>
      </c>
      <c r="F82" s="164">
        <v>0.00198</v>
      </c>
      <c r="G82" s="164">
        <v>2.5</v>
      </c>
      <c r="H82" s="164">
        <v>98470.0</v>
      </c>
      <c r="I82" s="164">
        <v>195.0</v>
      </c>
      <c r="J82" s="164">
        <v>491860.0</v>
      </c>
      <c r="K82" s="164">
        <v>6431037.0</v>
      </c>
      <c r="L82" s="164">
        <v>65.31</v>
      </c>
      <c r="M82" s="163"/>
    </row>
    <row r="83" ht="15.75" customHeight="1">
      <c r="A83" s="164" t="s">
        <v>129</v>
      </c>
      <c r="B83" s="164">
        <v>2019.0</v>
      </c>
      <c r="C83" s="164" t="s">
        <v>132</v>
      </c>
      <c r="D83" s="164">
        <v>20.0</v>
      </c>
      <c r="E83" s="164">
        <v>5.71E-4</v>
      </c>
      <c r="F83" s="164">
        <v>0.002849</v>
      </c>
      <c r="G83" s="164">
        <v>2.5</v>
      </c>
      <c r="H83" s="164">
        <v>98275.0</v>
      </c>
      <c r="I83" s="164">
        <v>280.0</v>
      </c>
      <c r="J83" s="164">
        <v>490673.0</v>
      </c>
      <c r="K83" s="164">
        <v>5939176.0</v>
      </c>
      <c r="L83" s="164">
        <v>60.43</v>
      </c>
      <c r="M83" s="163"/>
    </row>
    <row r="84" ht="15.75" customHeight="1">
      <c r="A84" s="164" t="s">
        <v>129</v>
      </c>
      <c r="B84" s="164">
        <v>2019.0</v>
      </c>
      <c r="C84" s="164" t="s">
        <v>132</v>
      </c>
      <c r="D84" s="164">
        <v>25.0</v>
      </c>
      <c r="E84" s="164">
        <v>7.19E-4</v>
      </c>
      <c r="F84" s="164">
        <v>0.003588</v>
      </c>
      <c r="G84" s="164">
        <v>2.5</v>
      </c>
      <c r="H84" s="164">
        <v>97995.0</v>
      </c>
      <c r="I84" s="164">
        <v>352.0</v>
      </c>
      <c r="J84" s="164">
        <v>489094.0</v>
      </c>
      <c r="K84" s="164">
        <v>5448503.0</v>
      </c>
      <c r="L84" s="164">
        <v>55.6</v>
      </c>
      <c r="M84" s="163"/>
    </row>
    <row r="85" ht="15.75" customHeight="1">
      <c r="A85" s="164" t="s">
        <v>129</v>
      </c>
      <c r="B85" s="164">
        <v>2019.0</v>
      </c>
      <c r="C85" s="164" t="s">
        <v>132</v>
      </c>
      <c r="D85" s="164">
        <v>30.0</v>
      </c>
      <c r="E85" s="164">
        <v>9.76E-4</v>
      </c>
      <c r="F85" s="164">
        <v>0.004871</v>
      </c>
      <c r="G85" s="164">
        <v>2.5</v>
      </c>
      <c r="H85" s="164">
        <v>97643.0</v>
      </c>
      <c r="I85" s="164">
        <v>476.0</v>
      </c>
      <c r="J85" s="164">
        <v>487026.0</v>
      </c>
      <c r="K85" s="164">
        <v>4959410.0</v>
      </c>
      <c r="L85" s="164">
        <v>50.79</v>
      </c>
      <c r="M85" s="163"/>
    </row>
    <row r="86" ht="15.75" customHeight="1">
      <c r="A86" s="164" t="s">
        <v>129</v>
      </c>
      <c r="B86" s="164">
        <v>2019.0</v>
      </c>
      <c r="C86" s="164" t="s">
        <v>132</v>
      </c>
      <c r="D86" s="164">
        <v>35.0</v>
      </c>
      <c r="E86" s="164">
        <v>0.001274</v>
      </c>
      <c r="F86" s="164">
        <v>0.006352</v>
      </c>
      <c r="G86" s="164">
        <v>2.5</v>
      </c>
      <c r="H86" s="164">
        <v>97167.0</v>
      </c>
      <c r="I86" s="164">
        <v>617.0</v>
      </c>
      <c r="J86" s="164">
        <v>484294.0</v>
      </c>
      <c r="K86" s="164">
        <v>4472384.0</v>
      </c>
      <c r="L86" s="164">
        <v>46.03</v>
      </c>
      <c r="M86" s="163"/>
    </row>
    <row r="87" ht="15.75" customHeight="1">
      <c r="A87" s="164" t="s">
        <v>129</v>
      </c>
      <c r="B87" s="164">
        <v>2019.0</v>
      </c>
      <c r="C87" s="164" t="s">
        <v>132</v>
      </c>
      <c r="D87" s="164">
        <v>40.0</v>
      </c>
      <c r="E87" s="164">
        <v>0.001882</v>
      </c>
      <c r="F87" s="164">
        <v>0.009367</v>
      </c>
      <c r="G87" s="164">
        <v>2.5</v>
      </c>
      <c r="H87" s="164">
        <v>96550.0</v>
      </c>
      <c r="I87" s="164">
        <v>904.0</v>
      </c>
      <c r="J87" s="164">
        <v>480490.0</v>
      </c>
      <c r="K87" s="164">
        <v>3988090.0</v>
      </c>
      <c r="L87" s="164">
        <v>41.31</v>
      </c>
      <c r="M87" s="163"/>
    </row>
    <row r="88" ht="15.75" customHeight="1">
      <c r="A88" s="164" t="s">
        <v>129</v>
      </c>
      <c r="B88" s="164">
        <v>2019.0</v>
      </c>
      <c r="C88" s="164" t="s">
        <v>132</v>
      </c>
      <c r="D88" s="164">
        <v>45.0</v>
      </c>
      <c r="E88" s="164">
        <v>0.003019</v>
      </c>
      <c r="F88" s="164">
        <v>0.014982</v>
      </c>
      <c r="G88" s="164">
        <v>2.5</v>
      </c>
      <c r="H88" s="164">
        <v>95646.0</v>
      </c>
      <c r="I88" s="164">
        <v>1433.0</v>
      </c>
      <c r="J88" s="164">
        <v>474647.0</v>
      </c>
      <c r="K88" s="164">
        <v>3507600.0</v>
      </c>
      <c r="L88" s="164">
        <v>36.67</v>
      </c>
      <c r="M88" s="163"/>
    </row>
    <row r="89" ht="15.75" customHeight="1">
      <c r="A89" s="164" t="s">
        <v>129</v>
      </c>
      <c r="B89" s="164">
        <v>2019.0</v>
      </c>
      <c r="C89" s="164" t="s">
        <v>132</v>
      </c>
      <c r="D89" s="164">
        <v>50.0</v>
      </c>
      <c r="E89" s="164">
        <v>0.004239</v>
      </c>
      <c r="F89" s="164">
        <v>0.020973</v>
      </c>
      <c r="G89" s="164">
        <v>2.5</v>
      </c>
      <c r="H89" s="164">
        <v>94213.0</v>
      </c>
      <c r="I89" s="164">
        <v>1976.0</v>
      </c>
      <c r="J89" s="164">
        <v>466124.0</v>
      </c>
      <c r="K89" s="164">
        <v>3032953.0</v>
      </c>
      <c r="L89" s="164">
        <v>32.19</v>
      </c>
      <c r="M89" s="163"/>
    </row>
    <row r="90" ht="15.75" customHeight="1">
      <c r="A90" s="164" t="s">
        <v>129</v>
      </c>
      <c r="B90" s="164">
        <v>2019.0</v>
      </c>
      <c r="C90" s="164" t="s">
        <v>132</v>
      </c>
      <c r="D90" s="164">
        <v>55.0</v>
      </c>
      <c r="E90" s="164">
        <v>0.007159</v>
      </c>
      <c r="F90" s="164">
        <v>0.035166</v>
      </c>
      <c r="G90" s="164">
        <v>2.5</v>
      </c>
      <c r="H90" s="164">
        <v>92237.0</v>
      </c>
      <c r="I90" s="164">
        <v>3244.0</v>
      </c>
      <c r="J90" s="164">
        <v>453075.0</v>
      </c>
      <c r="K90" s="164">
        <v>2566828.0</v>
      </c>
      <c r="L90" s="164">
        <v>27.83</v>
      </c>
      <c r="M90" s="163"/>
    </row>
    <row r="91" ht="15.75" customHeight="1">
      <c r="A91" s="164" t="s">
        <v>129</v>
      </c>
      <c r="B91" s="164">
        <v>2019.0</v>
      </c>
      <c r="C91" s="164" t="s">
        <v>132</v>
      </c>
      <c r="D91" s="164">
        <v>60.0</v>
      </c>
      <c r="E91" s="164">
        <v>0.010699</v>
      </c>
      <c r="F91" s="164">
        <v>0.052103</v>
      </c>
      <c r="G91" s="164">
        <v>2.5</v>
      </c>
      <c r="H91" s="164">
        <v>88993.0</v>
      </c>
      <c r="I91" s="164">
        <v>4637.0</v>
      </c>
      <c r="J91" s="164">
        <v>433374.0</v>
      </c>
      <c r="K91" s="164">
        <v>2113753.0</v>
      </c>
      <c r="L91" s="164">
        <v>23.75</v>
      </c>
      <c r="M91" s="163"/>
    </row>
    <row r="92" ht="15.75" customHeight="1">
      <c r="A92" s="164" t="s">
        <v>129</v>
      </c>
      <c r="B92" s="164">
        <v>2019.0</v>
      </c>
      <c r="C92" s="164" t="s">
        <v>132</v>
      </c>
      <c r="D92" s="164">
        <v>65.0</v>
      </c>
      <c r="E92" s="164">
        <v>0.015558</v>
      </c>
      <c r="F92" s="164">
        <v>0.074879</v>
      </c>
      <c r="G92" s="164">
        <v>2.5</v>
      </c>
      <c r="H92" s="164">
        <v>84356.0</v>
      </c>
      <c r="I92" s="164">
        <v>6317.0</v>
      </c>
      <c r="J92" s="164">
        <v>405991.0</v>
      </c>
      <c r="K92" s="164">
        <v>1680379.0</v>
      </c>
      <c r="L92" s="164">
        <v>19.92</v>
      </c>
      <c r="M92" s="163"/>
    </row>
    <row r="93" ht="15.75" customHeight="1">
      <c r="A93" s="164" t="s">
        <v>129</v>
      </c>
      <c r="B93" s="164">
        <v>2019.0</v>
      </c>
      <c r="C93" s="164" t="s">
        <v>132</v>
      </c>
      <c r="D93" s="164">
        <v>70.0</v>
      </c>
      <c r="E93" s="164">
        <v>0.02393</v>
      </c>
      <c r="F93" s="164">
        <v>0.112897</v>
      </c>
      <c r="G93" s="164">
        <v>2.5</v>
      </c>
      <c r="H93" s="164">
        <v>78040.0</v>
      </c>
      <c r="I93" s="164">
        <v>8810.0</v>
      </c>
      <c r="J93" s="164">
        <v>368173.0</v>
      </c>
      <c r="K93" s="164">
        <v>1274388.0</v>
      </c>
      <c r="L93" s="164">
        <v>16.33</v>
      </c>
      <c r="M93" s="163"/>
    </row>
    <row r="94" ht="15.75" customHeight="1">
      <c r="A94" s="164" t="s">
        <v>129</v>
      </c>
      <c r="B94" s="164">
        <v>2019.0</v>
      </c>
      <c r="C94" s="164" t="s">
        <v>132</v>
      </c>
      <c r="D94" s="164">
        <v>75.0</v>
      </c>
      <c r="E94" s="164">
        <v>0.037864</v>
      </c>
      <c r="F94" s="164">
        <v>0.172948</v>
      </c>
      <c r="G94" s="164">
        <v>2.5</v>
      </c>
      <c r="H94" s="164">
        <v>69229.0</v>
      </c>
      <c r="I94" s="164">
        <v>11973.0</v>
      </c>
      <c r="J94" s="164">
        <v>316215.0</v>
      </c>
      <c r="K94" s="164">
        <v>906214.0</v>
      </c>
      <c r="L94" s="164">
        <v>13.09</v>
      </c>
      <c r="M94" s="163"/>
    </row>
    <row r="95" ht="15.75" customHeight="1">
      <c r="A95" s="164" t="s">
        <v>129</v>
      </c>
      <c r="B95" s="164">
        <v>2019.0</v>
      </c>
      <c r="C95" s="164" t="s">
        <v>132</v>
      </c>
      <c r="D95" s="164">
        <v>80.0</v>
      </c>
      <c r="E95" s="164">
        <v>0.061959</v>
      </c>
      <c r="F95" s="164">
        <v>0.268246</v>
      </c>
      <c r="G95" s="164">
        <v>2.5</v>
      </c>
      <c r="H95" s="164">
        <v>57256.0</v>
      </c>
      <c r="I95" s="164">
        <v>15359.0</v>
      </c>
      <c r="J95" s="164">
        <v>247885.0</v>
      </c>
      <c r="K95" s="164">
        <v>590000.0</v>
      </c>
      <c r="L95" s="164">
        <v>10.3</v>
      </c>
      <c r="M95" s="163"/>
    </row>
    <row r="96" ht="15.75" customHeight="1">
      <c r="A96" s="164" t="s">
        <v>129</v>
      </c>
      <c r="B96" s="164">
        <v>2019.0</v>
      </c>
      <c r="C96" s="164" t="s">
        <v>132</v>
      </c>
      <c r="D96" s="164">
        <v>85.0</v>
      </c>
      <c r="E96" s="164">
        <v>0.122466</v>
      </c>
      <c r="F96" s="164">
        <v>1.0</v>
      </c>
      <c r="G96" s="164" t="s">
        <v>131</v>
      </c>
      <c r="H96" s="164">
        <v>41898.0</v>
      </c>
      <c r="I96" s="164">
        <v>41898.0</v>
      </c>
      <c r="J96" s="164">
        <v>342115.0</v>
      </c>
      <c r="K96" s="164">
        <v>342115.0</v>
      </c>
      <c r="L96" s="164">
        <v>8.17</v>
      </c>
      <c r="M96" s="163"/>
    </row>
    <row r="97" ht="15.75" customHeight="1">
      <c r="A97" s="156" t="s">
        <v>129</v>
      </c>
      <c r="B97" s="156">
        <v>2021.0</v>
      </c>
      <c r="C97" s="156" t="s">
        <v>132</v>
      </c>
      <c r="D97" s="156">
        <v>0.0</v>
      </c>
      <c r="E97" s="156">
        <v>0.009918</v>
      </c>
      <c r="F97" s="156">
        <v>0.009828</v>
      </c>
      <c r="G97" s="156">
        <v>0.08</v>
      </c>
      <c r="H97" s="157">
        <v>100000.0</v>
      </c>
      <c r="I97" s="156">
        <v>983.0</v>
      </c>
      <c r="J97" s="156">
        <v>99097.0</v>
      </c>
      <c r="K97" s="156">
        <v>7532090.0</v>
      </c>
      <c r="L97" s="156">
        <v>75.32</v>
      </c>
    </row>
    <row r="98" ht="15.75" customHeight="1">
      <c r="A98" s="156" t="s">
        <v>129</v>
      </c>
      <c r="B98" s="156">
        <v>2021.0</v>
      </c>
      <c r="C98" s="156" t="s">
        <v>132</v>
      </c>
      <c r="D98" s="156">
        <v>1.0</v>
      </c>
      <c r="E98" s="156">
        <v>4.25E-4</v>
      </c>
      <c r="F98" s="156">
        <v>0.001697</v>
      </c>
      <c r="G98" s="156">
        <v>1.51</v>
      </c>
      <c r="H98" s="156">
        <v>99017.0</v>
      </c>
      <c r="I98" s="156">
        <v>168.0</v>
      </c>
      <c r="J98" s="156">
        <v>395650.0</v>
      </c>
      <c r="K98" s="156">
        <v>7432993.0</v>
      </c>
      <c r="L98" s="156">
        <v>75.07</v>
      </c>
    </row>
    <row r="99" ht="15.75" customHeight="1">
      <c r="A99" s="156" t="s">
        <v>129</v>
      </c>
      <c r="B99" s="156">
        <v>2021.0</v>
      </c>
      <c r="C99" s="156" t="s">
        <v>132</v>
      </c>
      <c r="D99" s="156">
        <v>5.0</v>
      </c>
      <c r="E99" s="156">
        <v>1.73E-4</v>
      </c>
      <c r="F99" s="156">
        <v>8.66E-4</v>
      </c>
      <c r="G99" s="156">
        <v>2.5</v>
      </c>
      <c r="H99" s="156">
        <v>98849.0</v>
      </c>
      <c r="I99" s="156">
        <v>86.0</v>
      </c>
      <c r="J99" s="156">
        <v>494032.0</v>
      </c>
      <c r="K99" s="156">
        <v>7037344.0</v>
      </c>
      <c r="L99" s="156">
        <v>71.19</v>
      </c>
    </row>
    <row r="100" ht="15.75" customHeight="1">
      <c r="A100" s="156" t="s">
        <v>129</v>
      </c>
      <c r="B100" s="156">
        <v>2021.0</v>
      </c>
      <c r="C100" s="156" t="s">
        <v>132</v>
      </c>
      <c r="D100" s="156">
        <v>10.0</v>
      </c>
      <c r="E100" s="156">
        <v>2.58E-4</v>
      </c>
      <c r="F100" s="156">
        <v>0.001287</v>
      </c>
      <c r="G100" s="156">
        <v>2.5</v>
      </c>
      <c r="H100" s="156">
        <v>98764.0</v>
      </c>
      <c r="I100" s="156">
        <v>127.0</v>
      </c>
      <c r="J100" s="156">
        <v>493500.0</v>
      </c>
      <c r="K100" s="156">
        <v>6543312.0</v>
      </c>
      <c r="L100" s="156">
        <v>66.25</v>
      </c>
    </row>
    <row r="101" ht="15.75" customHeight="1">
      <c r="A101" s="156" t="s">
        <v>129</v>
      </c>
      <c r="B101" s="156">
        <v>2021.0</v>
      </c>
      <c r="C101" s="156" t="s">
        <v>132</v>
      </c>
      <c r="D101" s="156">
        <v>15.0</v>
      </c>
      <c r="E101" s="156">
        <v>4.28E-4</v>
      </c>
      <c r="F101" s="156">
        <v>0.002137</v>
      </c>
      <c r="G101" s="156">
        <v>2.5</v>
      </c>
      <c r="H101" s="156">
        <v>98637.0</v>
      </c>
      <c r="I101" s="156">
        <v>211.0</v>
      </c>
      <c r="J101" s="156">
        <v>492656.0</v>
      </c>
      <c r="K101" s="156">
        <v>6049812.0</v>
      </c>
      <c r="L101" s="156">
        <v>61.33</v>
      </c>
    </row>
    <row r="102" ht="15.75" customHeight="1">
      <c r="A102" s="156" t="s">
        <v>129</v>
      </c>
      <c r="B102" s="156">
        <v>2021.0</v>
      </c>
      <c r="C102" s="156" t="s">
        <v>132</v>
      </c>
      <c r="D102" s="156">
        <v>20.0</v>
      </c>
      <c r="E102" s="156">
        <v>6.21E-4</v>
      </c>
      <c r="F102" s="156">
        <v>0.003101</v>
      </c>
      <c r="G102" s="156">
        <v>2.5</v>
      </c>
      <c r="H102" s="156">
        <v>98426.0</v>
      </c>
      <c r="I102" s="156">
        <v>305.0</v>
      </c>
      <c r="J102" s="156">
        <v>491366.0</v>
      </c>
      <c r="K102" s="156">
        <v>5557156.0</v>
      </c>
      <c r="L102" s="156">
        <v>56.46</v>
      </c>
    </row>
    <row r="103" ht="15.75" customHeight="1">
      <c r="A103" s="156" t="s">
        <v>129</v>
      </c>
      <c r="B103" s="156">
        <v>2021.0</v>
      </c>
      <c r="C103" s="156" t="s">
        <v>132</v>
      </c>
      <c r="D103" s="156">
        <v>25.0</v>
      </c>
      <c r="E103" s="156">
        <v>0.001008</v>
      </c>
      <c r="F103" s="156">
        <v>0.005026</v>
      </c>
      <c r="G103" s="156">
        <v>2.5</v>
      </c>
      <c r="H103" s="156">
        <v>98121.0</v>
      </c>
      <c r="I103" s="156">
        <v>493.0</v>
      </c>
      <c r="J103" s="156">
        <v>489370.0</v>
      </c>
      <c r="K103" s="156">
        <v>5065790.0</v>
      </c>
      <c r="L103" s="156">
        <v>51.63</v>
      </c>
    </row>
    <row r="104" ht="15.75" customHeight="1">
      <c r="A104" s="156" t="s">
        <v>129</v>
      </c>
      <c r="B104" s="156">
        <v>2021.0</v>
      </c>
      <c r="C104" s="156" t="s">
        <v>132</v>
      </c>
      <c r="D104" s="156">
        <v>30.0</v>
      </c>
      <c r="E104" s="156">
        <v>0.001337</v>
      </c>
      <c r="F104" s="156">
        <v>0.00666</v>
      </c>
      <c r="G104" s="156">
        <v>2.5</v>
      </c>
      <c r="H104" s="156">
        <v>97627.0</v>
      </c>
      <c r="I104" s="156">
        <v>650.0</v>
      </c>
      <c r="J104" s="156">
        <v>486512.0</v>
      </c>
      <c r="K104" s="156">
        <v>4576420.0</v>
      </c>
      <c r="L104" s="156">
        <v>46.88</v>
      </c>
      <c r="M104" s="166"/>
      <c r="N104" s="166"/>
      <c r="O104" s="166"/>
      <c r="P104" s="166"/>
    </row>
    <row r="105" ht="15.75" customHeight="1">
      <c r="A105" s="156" t="s">
        <v>129</v>
      </c>
      <c r="B105" s="156">
        <v>2021.0</v>
      </c>
      <c r="C105" s="156" t="s">
        <v>132</v>
      </c>
      <c r="D105" s="156">
        <v>35.0</v>
      </c>
      <c r="E105" s="156">
        <v>0.00209</v>
      </c>
      <c r="F105" s="156">
        <v>0.010393</v>
      </c>
      <c r="G105" s="156">
        <v>2.5</v>
      </c>
      <c r="H105" s="156">
        <v>96977.0</v>
      </c>
      <c r="I105" s="156">
        <v>1008.0</v>
      </c>
      <c r="J105" s="156">
        <v>482366.0</v>
      </c>
      <c r="K105" s="156">
        <v>4089909.0</v>
      </c>
      <c r="L105" s="156">
        <v>42.17</v>
      </c>
      <c r="M105" s="167"/>
      <c r="N105" s="167"/>
      <c r="O105" s="167"/>
      <c r="P105" s="166"/>
    </row>
    <row r="106" ht="15.75" customHeight="1">
      <c r="A106" s="156" t="s">
        <v>129</v>
      </c>
      <c r="B106" s="156">
        <v>2021.0</v>
      </c>
      <c r="C106" s="156" t="s">
        <v>132</v>
      </c>
      <c r="D106" s="156">
        <v>40.0</v>
      </c>
      <c r="E106" s="156">
        <v>0.002868</v>
      </c>
      <c r="F106" s="156">
        <v>0.014238</v>
      </c>
      <c r="G106" s="156">
        <v>2.5</v>
      </c>
      <c r="H106" s="156">
        <v>95969.0</v>
      </c>
      <c r="I106" s="156">
        <v>1366.0</v>
      </c>
      <c r="J106" s="156">
        <v>476430.0</v>
      </c>
      <c r="K106" s="156">
        <v>3607542.0</v>
      </c>
      <c r="L106" s="156">
        <v>37.59</v>
      </c>
      <c r="M106" s="167"/>
      <c r="N106" s="167"/>
      <c r="O106" s="167"/>
      <c r="P106" s="166"/>
    </row>
    <row r="107" ht="15.75" customHeight="1">
      <c r="A107" s="156" t="s">
        <v>129</v>
      </c>
      <c r="B107" s="156">
        <v>2021.0</v>
      </c>
      <c r="C107" s="156" t="s">
        <v>132</v>
      </c>
      <c r="D107" s="156">
        <v>45.0</v>
      </c>
      <c r="E107" s="156">
        <v>0.004669</v>
      </c>
      <c r="F107" s="156">
        <v>0.023075</v>
      </c>
      <c r="G107" s="156">
        <v>2.5</v>
      </c>
      <c r="H107" s="156">
        <v>94603.0</v>
      </c>
      <c r="I107" s="156">
        <v>2183.0</v>
      </c>
      <c r="J107" s="156">
        <v>467557.0</v>
      </c>
      <c r="K107" s="156">
        <v>3131112.0</v>
      </c>
      <c r="L107" s="156">
        <v>33.1</v>
      </c>
      <c r="M107" s="167"/>
      <c r="N107" s="167"/>
      <c r="O107" s="167"/>
      <c r="P107" s="166"/>
    </row>
    <row r="108" ht="15.75" customHeight="1">
      <c r="A108" s="156" t="s">
        <v>129</v>
      </c>
      <c r="B108" s="156">
        <v>2021.0</v>
      </c>
      <c r="C108" s="156" t="s">
        <v>132</v>
      </c>
      <c r="D108" s="156">
        <v>50.0</v>
      </c>
      <c r="E108" s="156">
        <v>0.006226</v>
      </c>
      <c r="F108" s="156">
        <v>0.030654</v>
      </c>
      <c r="G108" s="156">
        <v>2.5</v>
      </c>
      <c r="H108" s="156">
        <v>92420.0</v>
      </c>
      <c r="I108" s="156">
        <v>2833.0</v>
      </c>
      <c r="J108" s="156">
        <v>455017.0</v>
      </c>
      <c r="K108" s="156">
        <v>2663555.0</v>
      </c>
      <c r="L108" s="156">
        <v>28.82</v>
      </c>
      <c r="M108" s="167"/>
      <c r="N108" s="167"/>
      <c r="O108" s="167"/>
      <c r="P108" s="166"/>
    </row>
    <row r="109" ht="15.75" customHeight="1">
      <c r="A109" s="156" t="s">
        <v>129</v>
      </c>
      <c r="B109" s="156">
        <v>2021.0</v>
      </c>
      <c r="C109" s="156" t="s">
        <v>132</v>
      </c>
      <c r="D109" s="156">
        <v>55.0</v>
      </c>
      <c r="E109" s="156">
        <v>0.011501</v>
      </c>
      <c r="F109" s="156">
        <v>0.055896</v>
      </c>
      <c r="G109" s="156">
        <v>2.5</v>
      </c>
      <c r="H109" s="156">
        <v>89587.0</v>
      </c>
      <c r="I109" s="156">
        <v>5008.0</v>
      </c>
      <c r="J109" s="156">
        <v>435416.0</v>
      </c>
      <c r="K109" s="156">
        <v>2208538.0</v>
      </c>
      <c r="L109" s="156">
        <v>24.65</v>
      </c>
      <c r="M109" s="167"/>
      <c r="N109" s="167"/>
      <c r="O109" s="167"/>
      <c r="P109" s="166"/>
    </row>
    <row r="110" ht="15.75" customHeight="1">
      <c r="A110" s="156" t="s">
        <v>129</v>
      </c>
      <c r="B110" s="156">
        <v>2021.0</v>
      </c>
      <c r="C110" s="156" t="s">
        <v>132</v>
      </c>
      <c r="D110" s="156">
        <v>60.0</v>
      </c>
      <c r="E110" s="156">
        <v>0.015987</v>
      </c>
      <c r="F110" s="156">
        <v>0.076864</v>
      </c>
      <c r="G110" s="156">
        <v>2.5</v>
      </c>
      <c r="H110" s="156">
        <v>84579.0</v>
      </c>
      <c r="I110" s="156">
        <v>6501.0</v>
      </c>
      <c r="J110" s="156">
        <v>406644.0</v>
      </c>
      <c r="K110" s="156">
        <v>1773122.0</v>
      </c>
      <c r="L110" s="156">
        <v>20.96</v>
      </c>
      <c r="M110" s="167"/>
      <c r="N110" s="167"/>
      <c r="O110" s="167"/>
      <c r="P110" s="166"/>
    </row>
    <row r="111" ht="15.75" customHeight="1">
      <c r="A111" s="156" t="s">
        <v>129</v>
      </c>
      <c r="B111" s="156">
        <v>2021.0</v>
      </c>
      <c r="C111" s="156" t="s">
        <v>132</v>
      </c>
      <c r="D111" s="156">
        <v>65.0</v>
      </c>
      <c r="E111" s="156">
        <v>0.022988</v>
      </c>
      <c r="F111" s="156">
        <v>0.108694</v>
      </c>
      <c r="G111" s="156">
        <v>2.5</v>
      </c>
      <c r="H111" s="156">
        <v>78078.0</v>
      </c>
      <c r="I111" s="156">
        <v>8487.0</v>
      </c>
      <c r="J111" s="156">
        <v>369174.0</v>
      </c>
      <c r="K111" s="156">
        <v>1366478.0</v>
      </c>
      <c r="L111" s="156">
        <v>17.5</v>
      </c>
      <c r="M111" s="167"/>
      <c r="N111" s="167"/>
      <c r="O111" s="167"/>
      <c r="P111" s="166"/>
    </row>
    <row r="112" ht="15.75" customHeight="1">
      <c r="A112" s="156" t="s">
        <v>129</v>
      </c>
      <c r="B112" s="156">
        <v>2021.0</v>
      </c>
      <c r="C112" s="156" t="s">
        <v>132</v>
      </c>
      <c r="D112" s="156">
        <v>70.0</v>
      </c>
      <c r="E112" s="156">
        <v>0.034147</v>
      </c>
      <c r="F112" s="156">
        <v>0.157305</v>
      </c>
      <c r="G112" s="156">
        <v>2.5</v>
      </c>
      <c r="H112" s="156">
        <v>69592.0</v>
      </c>
      <c r="I112" s="156">
        <v>10947.0</v>
      </c>
      <c r="J112" s="156">
        <v>320590.0</v>
      </c>
      <c r="K112" s="156">
        <v>997304.0</v>
      </c>
      <c r="L112" s="156">
        <v>14.33</v>
      </c>
      <c r="M112" s="167"/>
      <c r="N112" s="167"/>
      <c r="O112" s="167"/>
      <c r="P112" s="166"/>
    </row>
    <row r="113" ht="15.75" customHeight="1">
      <c r="A113" s="156" t="s">
        <v>129</v>
      </c>
      <c r="B113" s="156">
        <v>2021.0</v>
      </c>
      <c r="C113" s="156" t="s">
        <v>132</v>
      </c>
      <c r="D113" s="156">
        <v>75.0</v>
      </c>
      <c r="E113" s="156">
        <v>0.048136</v>
      </c>
      <c r="F113" s="156">
        <v>0.214826</v>
      </c>
      <c r="G113" s="156">
        <v>2.5</v>
      </c>
      <c r="H113" s="156">
        <v>58644.0</v>
      </c>
      <c r="I113" s="156">
        <v>12598.0</v>
      </c>
      <c r="J113" s="156">
        <v>261726.0</v>
      </c>
      <c r="K113" s="156">
        <v>676714.0</v>
      </c>
      <c r="L113" s="156">
        <v>11.54</v>
      </c>
      <c r="M113" s="166"/>
      <c r="N113" s="166"/>
      <c r="O113" s="166"/>
      <c r="P113" s="166"/>
    </row>
    <row r="114" ht="15.75" customHeight="1">
      <c r="A114" s="156" t="s">
        <v>129</v>
      </c>
      <c r="B114" s="156">
        <v>2021.0</v>
      </c>
      <c r="C114" s="156" t="s">
        <v>132</v>
      </c>
      <c r="D114" s="156">
        <v>80.0</v>
      </c>
      <c r="E114" s="156">
        <v>0.076689</v>
      </c>
      <c r="F114" s="156">
        <v>0.321757</v>
      </c>
      <c r="G114" s="156">
        <v>2.5</v>
      </c>
      <c r="H114" s="156">
        <v>46046.0</v>
      </c>
      <c r="I114" s="156">
        <v>14816.0</v>
      </c>
      <c r="J114" s="156">
        <v>193191.0</v>
      </c>
      <c r="K114" s="156">
        <v>414987.0</v>
      </c>
      <c r="L114" s="156">
        <v>9.01</v>
      </c>
    </row>
    <row r="115" ht="15.75" customHeight="1">
      <c r="A115" s="156" t="s">
        <v>129</v>
      </c>
      <c r="B115" s="156">
        <v>2021.0</v>
      </c>
      <c r="C115" s="156" t="s">
        <v>132</v>
      </c>
      <c r="D115" s="156">
        <v>85.0</v>
      </c>
      <c r="E115" s="156">
        <v>0.140807</v>
      </c>
      <c r="F115" s="156">
        <v>1.0</v>
      </c>
      <c r="G115" s="156" t="s">
        <v>131</v>
      </c>
      <c r="H115" s="156">
        <v>31230.0</v>
      </c>
      <c r="I115" s="156">
        <v>31230.0</v>
      </c>
      <c r="J115" s="156">
        <v>221796.0</v>
      </c>
      <c r="K115" s="156">
        <v>221796.0</v>
      </c>
      <c r="L115" s="156">
        <v>7.1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>
      <c r="D133" s="161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1"/>
    </row>
    <row r="134" ht="15.75" customHeight="1">
      <c r="D134" s="161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1"/>
    </row>
    <row r="135" ht="15.75" customHeight="1">
      <c r="D135" s="161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1"/>
    </row>
    <row r="136" ht="15.75" customHeight="1">
      <c r="D136" s="161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1"/>
    </row>
    <row r="137" ht="15.75" customHeight="1">
      <c r="D137" s="161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1"/>
    </row>
    <row r="138" ht="15.75" customHeight="1">
      <c r="D138" s="161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1"/>
    </row>
    <row r="139" ht="15.75" customHeight="1">
      <c r="D139" s="161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1"/>
    </row>
    <row r="140" ht="15.75" customHeight="1">
      <c r="D140" s="161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1"/>
    </row>
    <row r="141" ht="15.75" customHeight="1">
      <c r="D141" s="161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1"/>
    </row>
    <row r="142" ht="15.75" customHeight="1">
      <c r="D142" s="161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1"/>
    </row>
    <row r="143" ht="15.75" customHeight="1">
      <c r="D143" s="161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1"/>
    </row>
    <row r="144" ht="15.75" customHeight="1">
      <c r="D144" s="161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1"/>
    </row>
    <row r="145" ht="15.75" customHeight="1">
      <c r="D145" s="161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1"/>
    </row>
    <row r="146" ht="15.75" customHeight="1">
      <c r="D146" s="161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1"/>
    </row>
    <row r="147" ht="15.75" customHeight="1">
      <c r="D147" s="161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1"/>
    </row>
    <row r="148" ht="15.75" customHeight="1">
      <c r="D148" s="161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1"/>
    </row>
    <row r="149" ht="15.75" customHeight="1">
      <c r="D149" s="161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1"/>
    </row>
    <row r="150" ht="15.75" customHeight="1">
      <c r="D150" s="161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1"/>
    </row>
    <row r="151" ht="15.75" customHeight="1">
      <c r="D151" s="161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1"/>
    </row>
    <row r="152" ht="15.75" customHeight="1">
      <c r="D152" s="161"/>
      <c r="E152" s="161"/>
      <c r="F152" s="161"/>
      <c r="G152" s="161"/>
      <c r="H152" s="161"/>
      <c r="I152" s="161"/>
      <c r="J152" s="161"/>
      <c r="K152" s="161"/>
      <c r="L152" s="162"/>
      <c r="M152" s="161"/>
      <c r="N152" s="161"/>
      <c r="O152" s="161"/>
      <c r="P152" s="161"/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>
      <c r="L171" s="169"/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>
      <c r="E190" s="170"/>
      <c r="F190" s="170"/>
      <c r="G190" s="170"/>
      <c r="H190" s="170"/>
      <c r="I190" s="170"/>
      <c r="J190" s="170"/>
      <c r="K190" s="170"/>
      <c r="L190" s="170"/>
      <c r="M190" s="170"/>
      <c r="N190" s="170"/>
      <c r="O190" s="170"/>
    </row>
    <row r="191" ht="15.75" customHeight="1">
      <c r="E191" s="170"/>
      <c r="F191" s="170"/>
      <c r="G191" s="170"/>
      <c r="H191" s="170"/>
      <c r="I191" s="170"/>
      <c r="J191" s="170"/>
      <c r="K191" s="170"/>
      <c r="L191" s="170"/>
      <c r="M191" s="170"/>
      <c r="N191" s="170"/>
      <c r="O191" s="170"/>
    </row>
    <row r="192" ht="15.75" customHeight="1">
      <c r="E192" s="170"/>
      <c r="F192" s="170"/>
      <c r="G192" s="170"/>
      <c r="H192" s="170"/>
      <c r="I192" s="170"/>
      <c r="J192" s="170"/>
      <c r="K192" s="170"/>
      <c r="L192" s="170"/>
      <c r="M192" s="170"/>
      <c r="N192" s="170"/>
      <c r="O192" s="170"/>
    </row>
    <row r="193" ht="15.75" customHeight="1">
      <c r="E193" s="170"/>
      <c r="F193" s="170"/>
      <c r="G193" s="170"/>
      <c r="H193" s="170"/>
      <c r="I193" s="170"/>
      <c r="J193" s="170"/>
      <c r="K193" s="170"/>
      <c r="L193" s="170"/>
      <c r="M193" s="170"/>
      <c r="N193" s="170"/>
      <c r="O193" s="170"/>
    </row>
    <row r="194" ht="15.75" customHeight="1">
      <c r="E194" s="170"/>
      <c r="F194" s="170"/>
      <c r="G194" s="170"/>
      <c r="H194" s="170"/>
      <c r="I194" s="170"/>
      <c r="J194" s="170"/>
      <c r="K194" s="170"/>
      <c r="L194" s="170"/>
      <c r="M194" s="170"/>
      <c r="N194" s="170"/>
      <c r="O194" s="170"/>
    </row>
    <row r="195" ht="15.75" customHeight="1">
      <c r="E195" s="170"/>
      <c r="F195" s="170"/>
      <c r="G195" s="170"/>
      <c r="H195" s="170"/>
      <c r="I195" s="170"/>
      <c r="J195" s="170"/>
      <c r="K195" s="170"/>
      <c r="L195" s="170"/>
      <c r="M195" s="170"/>
      <c r="N195" s="170"/>
      <c r="O195" s="170"/>
    </row>
    <row r="196" ht="15.75" customHeight="1">
      <c r="E196" s="170"/>
      <c r="F196" s="170"/>
      <c r="G196" s="170"/>
      <c r="H196" s="170"/>
      <c r="I196" s="170"/>
      <c r="J196" s="170"/>
      <c r="K196" s="170"/>
      <c r="L196" s="170"/>
      <c r="M196" s="170"/>
      <c r="N196" s="170"/>
      <c r="O196" s="170"/>
    </row>
    <row r="197" ht="15.75" customHeight="1">
      <c r="E197" s="170"/>
      <c r="F197" s="170"/>
      <c r="G197" s="170"/>
      <c r="H197" s="170"/>
      <c r="I197" s="170"/>
      <c r="J197" s="170"/>
      <c r="K197" s="170"/>
      <c r="L197" s="170"/>
      <c r="M197" s="170"/>
      <c r="N197" s="170"/>
      <c r="O197" s="170"/>
    </row>
    <row r="198" ht="15.75" customHeight="1">
      <c r="E198" s="170"/>
      <c r="F198" s="170"/>
      <c r="G198" s="170"/>
      <c r="H198" s="170"/>
      <c r="I198" s="170"/>
      <c r="J198" s="170"/>
      <c r="K198" s="170"/>
      <c r="L198" s="170"/>
      <c r="M198" s="170"/>
      <c r="N198" s="170"/>
      <c r="O198" s="170"/>
    </row>
    <row r="199" ht="15.75" customHeight="1">
      <c r="E199" s="170"/>
      <c r="F199" s="170"/>
      <c r="G199" s="170"/>
      <c r="H199" s="170"/>
      <c r="I199" s="170"/>
      <c r="J199" s="170"/>
      <c r="K199" s="170"/>
      <c r="L199" s="170"/>
      <c r="M199" s="170"/>
      <c r="N199" s="170"/>
      <c r="O199" s="170"/>
    </row>
    <row r="200" ht="15.75" customHeight="1">
      <c r="E200" s="170"/>
      <c r="F200" s="170"/>
      <c r="G200" s="170"/>
      <c r="H200" s="170"/>
      <c r="I200" s="170"/>
      <c r="J200" s="170"/>
      <c r="K200" s="170"/>
      <c r="L200" s="170"/>
      <c r="M200" s="170"/>
      <c r="N200" s="170"/>
      <c r="O200" s="170"/>
    </row>
    <row r="201" ht="15.75" customHeight="1">
      <c r="E201" s="170"/>
      <c r="F201" s="170"/>
      <c r="G201" s="170"/>
      <c r="H201" s="170"/>
      <c r="I201" s="170"/>
      <c r="J201" s="170"/>
      <c r="K201" s="170"/>
      <c r="L201" s="170"/>
      <c r="M201" s="170"/>
      <c r="N201" s="170"/>
      <c r="O201" s="170"/>
    </row>
    <row r="202" ht="15.75" customHeight="1">
      <c r="E202" s="170"/>
      <c r="F202" s="170"/>
      <c r="G202" s="170"/>
      <c r="H202" s="170"/>
      <c r="I202" s="170"/>
      <c r="J202" s="170"/>
      <c r="K202" s="170"/>
      <c r="L202" s="170"/>
      <c r="M202" s="170"/>
      <c r="N202" s="170"/>
      <c r="O202" s="170"/>
    </row>
    <row r="203" ht="15.75" customHeight="1">
      <c r="E203" s="170"/>
      <c r="F203" s="170"/>
      <c r="G203" s="170"/>
      <c r="H203" s="170"/>
      <c r="I203" s="170"/>
      <c r="J203" s="170"/>
      <c r="K203" s="170"/>
      <c r="L203" s="170"/>
      <c r="M203" s="170"/>
      <c r="N203" s="170"/>
      <c r="O203" s="170"/>
    </row>
    <row r="204" ht="15.75" customHeight="1">
      <c r="E204" s="170"/>
      <c r="F204" s="170"/>
      <c r="G204" s="170"/>
      <c r="H204" s="170"/>
      <c r="I204" s="170"/>
      <c r="J204" s="170"/>
      <c r="K204" s="170"/>
      <c r="L204" s="170"/>
      <c r="M204" s="170"/>
      <c r="N204" s="170"/>
      <c r="O204" s="170"/>
    </row>
    <row r="205" ht="15.75" customHeight="1">
      <c r="E205" s="170"/>
      <c r="F205" s="170"/>
      <c r="G205" s="170"/>
      <c r="H205" s="170"/>
      <c r="I205" s="170"/>
      <c r="J205" s="170"/>
      <c r="K205" s="170"/>
      <c r="L205" s="170"/>
      <c r="M205" s="170"/>
      <c r="N205" s="170"/>
      <c r="O205" s="170"/>
    </row>
    <row r="206" ht="15.75" customHeight="1">
      <c r="E206" s="170"/>
      <c r="F206" s="170"/>
      <c r="G206" s="170"/>
      <c r="H206" s="170"/>
      <c r="I206" s="170"/>
      <c r="J206" s="170"/>
      <c r="K206" s="170"/>
      <c r="L206" s="170"/>
      <c r="M206" s="170"/>
      <c r="N206" s="170"/>
      <c r="O206" s="170"/>
    </row>
    <row r="207" ht="15.75" customHeight="1">
      <c r="E207" s="170"/>
      <c r="F207" s="170"/>
      <c r="G207" s="170"/>
      <c r="H207" s="170"/>
      <c r="I207" s="170"/>
      <c r="J207" s="170"/>
      <c r="K207" s="170"/>
      <c r="L207" s="170"/>
      <c r="M207" s="170"/>
      <c r="N207" s="170"/>
      <c r="O207" s="170"/>
    </row>
    <row r="208" ht="15.75" customHeight="1">
      <c r="E208" s="170"/>
      <c r="F208" s="170"/>
      <c r="G208" s="170"/>
      <c r="H208" s="170"/>
      <c r="I208" s="170"/>
      <c r="J208" s="170"/>
      <c r="K208" s="170"/>
      <c r="L208" s="170"/>
      <c r="M208" s="170"/>
      <c r="N208" s="170"/>
      <c r="O208" s="170"/>
    </row>
    <row r="209" ht="15.75" customHeight="1">
      <c r="L209" s="169"/>
    </row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10.75"/>
    <col customWidth="1" min="7" max="26" width="14.38"/>
  </cols>
  <sheetData>
    <row r="1">
      <c r="A1" s="156" t="s">
        <v>118</v>
      </c>
      <c r="B1" s="156" t="s">
        <v>119</v>
      </c>
      <c r="C1" s="156" t="s">
        <v>120</v>
      </c>
      <c r="D1" s="156" t="s">
        <v>133</v>
      </c>
    </row>
    <row r="2">
      <c r="A2" s="156">
        <v>1990.0</v>
      </c>
      <c r="B2" s="156" t="s">
        <v>134</v>
      </c>
      <c r="C2" s="156">
        <v>0.0</v>
      </c>
      <c r="D2" s="156">
        <v>2.031387382007</v>
      </c>
    </row>
    <row r="3">
      <c r="A3" s="156">
        <v>1990.0</v>
      </c>
      <c r="B3" s="156" t="s">
        <v>134</v>
      </c>
      <c r="C3" s="156">
        <v>1.0</v>
      </c>
      <c r="D3" s="156">
        <v>1.0156936910035</v>
      </c>
    </row>
    <row r="4">
      <c r="A4" s="156">
        <v>1990.0</v>
      </c>
      <c r="B4" s="156" t="s">
        <v>134</v>
      </c>
      <c r="C4" s="156">
        <v>5.0</v>
      </c>
      <c r="D4" s="156">
        <v>10.156936910035</v>
      </c>
    </row>
    <row r="5">
      <c r="A5" s="156">
        <v>1990.0</v>
      </c>
      <c r="B5" s="156" t="s">
        <v>134</v>
      </c>
      <c r="C5" s="156">
        <v>10.0</v>
      </c>
      <c r="D5" s="156">
        <v>6.094162146021</v>
      </c>
    </row>
    <row r="6">
      <c r="A6" s="156">
        <v>1990.0</v>
      </c>
      <c r="B6" s="156" t="s">
        <v>134</v>
      </c>
      <c r="C6" s="156">
        <v>15.0</v>
      </c>
      <c r="D6" s="156">
        <v>49.7689908591715</v>
      </c>
    </row>
    <row r="7">
      <c r="A7" s="156">
        <v>1990.0</v>
      </c>
      <c r="B7" s="156" t="s">
        <v>134</v>
      </c>
      <c r="C7" s="156">
        <v>20.0</v>
      </c>
      <c r="D7" s="156">
        <v>97.506594336336</v>
      </c>
    </row>
    <row r="8">
      <c r="A8" s="156">
        <v>1990.0</v>
      </c>
      <c r="B8" s="156" t="s">
        <v>134</v>
      </c>
      <c r="C8" s="156">
        <v>25.0</v>
      </c>
      <c r="D8" s="156">
        <v>108.679224937375</v>
      </c>
    </row>
    <row r="9">
      <c r="A9" s="156">
        <v>1990.0</v>
      </c>
      <c r="B9" s="156" t="s">
        <v>134</v>
      </c>
      <c r="C9" s="156">
        <v>30.0</v>
      </c>
      <c r="D9" s="156">
        <v>81.172822537989</v>
      </c>
    </row>
    <row r="10">
      <c r="A10" s="156">
        <v>1990.0</v>
      </c>
      <c r="B10" s="156" t="s">
        <v>134</v>
      </c>
      <c r="C10" s="156">
        <v>35.0</v>
      </c>
      <c r="D10" s="156">
        <v>88.3653511173045</v>
      </c>
    </row>
    <row r="11">
      <c r="A11" s="156">
        <v>1990.0</v>
      </c>
      <c r="B11" s="156" t="s">
        <v>134</v>
      </c>
      <c r="C11" s="156">
        <v>40.0</v>
      </c>
      <c r="D11" s="156">
        <v>65.004396224224</v>
      </c>
    </row>
    <row r="12">
      <c r="A12" s="156">
        <v>1990.0</v>
      </c>
      <c r="B12" s="156" t="s">
        <v>134</v>
      </c>
      <c r="C12" s="156">
        <v>45.0</v>
      </c>
      <c r="D12" s="156">
        <v>50.784684550175</v>
      </c>
    </row>
    <row r="13">
      <c r="A13" s="156">
        <v>1990.0</v>
      </c>
      <c r="B13" s="156" t="s">
        <v>134</v>
      </c>
      <c r="C13" s="156">
        <v>50.0</v>
      </c>
      <c r="D13" s="156">
        <v>40.62774764014</v>
      </c>
    </row>
    <row r="14">
      <c r="A14" s="156">
        <v>1990.0</v>
      </c>
      <c r="B14" s="156" t="s">
        <v>134</v>
      </c>
      <c r="C14" s="156">
        <v>55.0</v>
      </c>
      <c r="D14" s="156">
        <v>33.5178918031155</v>
      </c>
    </row>
    <row r="15">
      <c r="A15" s="156">
        <v>1990.0</v>
      </c>
      <c r="B15" s="156" t="s">
        <v>134</v>
      </c>
      <c r="C15" s="156">
        <v>60.0</v>
      </c>
      <c r="D15" s="156">
        <v>27.4237296570945</v>
      </c>
    </row>
    <row r="16">
      <c r="A16" s="156">
        <v>1990.0</v>
      </c>
      <c r="B16" s="156" t="s">
        <v>134</v>
      </c>
      <c r="C16" s="156">
        <v>65.0</v>
      </c>
      <c r="D16" s="156">
        <v>12.188324292042</v>
      </c>
    </row>
    <row r="17">
      <c r="A17" s="156">
        <v>1990.0</v>
      </c>
      <c r="B17" s="156" t="s">
        <v>134</v>
      </c>
      <c r="C17" s="156">
        <v>70.0</v>
      </c>
      <c r="D17" s="156">
        <v>9.1412432190315</v>
      </c>
    </row>
    <row r="18">
      <c r="A18" s="156">
        <v>1990.0</v>
      </c>
      <c r="B18" s="156" t="s">
        <v>134</v>
      </c>
      <c r="C18" s="156">
        <v>75.0</v>
      </c>
      <c r="D18" s="156">
        <v>11.1726306010385</v>
      </c>
    </row>
    <row r="19">
      <c r="A19" s="156">
        <v>1990.0</v>
      </c>
      <c r="B19" s="156" t="s">
        <v>134</v>
      </c>
      <c r="C19" s="156">
        <v>80.0</v>
      </c>
      <c r="D19" s="156">
        <v>5.0784684550175</v>
      </c>
    </row>
    <row r="20">
      <c r="A20" s="156">
        <v>1990.0</v>
      </c>
      <c r="B20" s="156" t="s">
        <v>134</v>
      </c>
      <c r="C20" s="156">
        <v>85.0</v>
      </c>
      <c r="D20" s="156">
        <v>12.188324292042</v>
      </c>
    </row>
    <row r="21" ht="15.75" customHeight="1">
      <c r="A21" s="156">
        <v>1991.0</v>
      </c>
      <c r="B21" s="156" t="s">
        <v>134</v>
      </c>
      <c r="C21" s="156">
        <v>0.0</v>
      </c>
      <c r="D21" s="156">
        <v>3.03916449086162</v>
      </c>
    </row>
    <row r="22" ht="15.75" customHeight="1">
      <c r="A22" s="156">
        <v>1991.0</v>
      </c>
      <c r="B22" s="156" t="s">
        <v>134</v>
      </c>
      <c r="C22" s="156">
        <v>1.0</v>
      </c>
      <c r="D22" s="156">
        <v>5.06527415143603</v>
      </c>
    </row>
    <row r="23" ht="15.75" customHeight="1">
      <c r="A23" s="156">
        <v>1991.0</v>
      </c>
      <c r="B23" s="156" t="s">
        <v>134</v>
      </c>
      <c r="C23" s="156">
        <v>5.0</v>
      </c>
      <c r="D23" s="156">
        <v>2.02610966057441</v>
      </c>
    </row>
    <row r="24" ht="15.75" customHeight="1">
      <c r="A24" s="156">
        <v>1991.0</v>
      </c>
      <c r="B24" s="156" t="s">
        <v>134</v>
      </c>
      <c r="C24" s="156">
        <v>10.0</v>
      </c>
      <c r="D24" s="156">
        <v>11.1436031331593</v>
      </c>
    </row>
    <row r="25" ht="15.75" customHeight="1">
      <c r="A25" s="156">
        <v>1991.0</v>
      </c>
      <c r="B25" s="156" t="s">
        <v>134</v>
      </c>
      <c r="C25" s="156">
        <v>15.0</v>
      </c>
      <c r="D25" s="156">
        <v>57.7441253263708</v>
      </c>
    </row>
    <row r="26" ht="15.75" customHeight="1">
      <c r="A26" s="156">
        <v>1991.0</v>
      </c>
      <c r="B26" s="156" t="s">
        <v>134</v>
      </c>
      <c r="C26" s="156">
        <v>20.0</v>
      </c>
      <c r="D26" s="156">
        <v>109.409921671018</v>
      </c>
    </row>
    <row r="27" ht="15.75" customHeight="1">
      <c r="A27" s="156">
        <v>1991.0</v>
      </c>
      <c r="B27" s="156" t="s">
        <v>134</v>
      </c>
      <c r="C27" s="156">
        <v>25.0</v>
      </c>
      <c r="D27" s="156">
        <v>116.501305483029</v>
      </c>
    </row>
    <row r="28" ht="15.75" customHeight="1">
      <c r="A28" s="156">
        <v>1991.0</v>
      </c>
      <c r="B28" s="156" t="s">
        <v>134</v>
      </c>
      <c r="C28" s="156">
        <v>30.0</v>
      </c>
      <c r="D28" s="156">
        <v>108.396866840731</v>
      </c>
    </row>
    <row r="29" ht="15.75" customHeight="1">
      <c r="A29" s="156">
        <v>1991.0</v>
      </c>
      <c r="B29" s="156" t="s">
        <v>134</v>
      </c>
      <c r="C29" s="156">
        <v>35.0</v>
      </c>
      <c r="D29" s="156">
        <v>88.1357702349869</v>
      </c>
    </row>
    <row r="30" ht="15.75" customHeight="1">
      <c r="A30" s="156">
        <v>1991.0</v>
      </c>
      <c r="B30" s="156" t="s">
        <v>134</v>
      </c>
      <c r="C30" s="156">
        <v>40.0</v>
      </c>
      <c r="D30" s="156">
        <v>62.8093994778068</v>
      </c>
    </row>
    <row r="31" ht="15.75" customHeight="1">
      <c r="A31" s="156">
        <v>1991.0</v>
      </c>
      <c r="B31" s="156" t="s">
        <v>134</v>
      </c>
      <c r="C31" s="156">
        <v>45.0</v>
      </c>
      <c r="D31" s="156">
        <v>61.7963446475196</v>
      </c>
    </row>
    <row r="32" ht="15.75" customHeight="1">
      <c r="A32" s="156">
        <v>1991.0</v>
      </c>
      <c r="B32" s="156" t="s">
        <v>134</v>
      </c>
      <c r="C32" s="156">
        <v>50.0</v>
      </c>
      <c r="D32" s="156">
        <v>46.6005221932115</v>
      </c>
    </row>
    <row r="33" ht="15.75" customHeight="1">
      <c r="A33" s="156">
        <v>1991.0</v>
      </c>
      <c r="B33" s="156" t="s">
        <v>134</v>
      </c>
      <c r="C33" s="156">
        <v>55.0</v>
      </c>
      <c r="D33" s="156">
        <v>29.378590078329</v>
      </c>
    </row>
    <row r="34" ht="15.75" customHeight="1">
      <c r="A34" s="156">
        <v>1991.0</v>
      </c>
      <c r="B34" s="156" t="s">
        <v>134</v>
      </c>
      <c r="C34" s="156">
        <v>60.0</v>
      </c>
      <c r="D34" s="156">
        <v>22.2872062663185</v>
      </c>
    </row>
    <row r="35" ht="15.75" customHeight="1">
      <c r="A35" s="156">
        <v>1991.0</v>
      </c>
      <c r="B35" s="156" t="s">
        <v>134</v>
      </c>
      <c r="C35" s="156">
        <v>65.0</v>
      </c>
      <c r="D35" s="156">
        <v>16.2088772845953</v>
      </c>
    </row>
    <row r="36" ht="15.75" customHeight="1">
      <c r="A36" s="156">
        <v>1991.0</v>
      </c>
      <c r="B36" s="156" t="s">
        <v>134</v>
      </c>
      <c r="C36" s="156">
        <v>70.0</v>
      </c>
      <c r="D36" s="156">
        <v>11.1436031331593</v>
      </c>
    </row>
    <row r="37" ht="15.75" customHeight="1">
      <c r="A37" s="156">
        <v>1991.0</v>
      </c>
      <c r="B37" s="156" t="s">
        <v>134</v>
      </c>
      <c r="C37" s="156">
        <v>75.0</v>
      </c>
      <c r="D37" s="156">
        <v>7.09138381201044</v>
      </c>
    </row>
    <row r="38" ht="15.75" customHeight="1">
      <c r="A38" s="156">
        <v>1991.0</v>
      </c>
      <c r="B38" s="156" t="s">
        <v>134</v>
      </c>
      <c r="C38" s="156">
        <v>80.0</v>
      </c>
      <c r="D38" s="156">
        <v>5.06527415143603</v>
      </c>
    </row>
    <row r="39" ht="15.75" customHeight="1">
      <c r="A39" s="156">
        <v>1991.0</v>
      </c>
      <c r="B39" s="156" t="s">
        <v>134</v>
      </c>
      <c r="C39" s="156">
        <v>85.0</v>
      </c>
      <c r="D39" s="156">
        <v>12.1566579634465</v>
      </c>
    </row>
    <row r="40" ht="15.75" customHeight="1">
      <c r="A40" s="156">
        <v>1992.0</v>
      </c>
      <c r="B40" s="156" t="s">
        <v>134</v>
      </c>
      <c r="C40" s="156">
        <v>0.0</v>
      </c>
      <c r="D40" s="156">
        <v>2.04049563893119</v>
      </c>
    </row>
    <row r="41" ht="15.75" customHeight="1">
      <c r="A41" s="156">
        <v>1992.0</v>
      </c>
      <c r="B41" s="156" t="s">
        <v>134</v>
      </c>
      <c r="C41" s="156">
        <v>1.0</v>
      </c>
      <c r="D41" s="156">
        <v>3.06074345839679</v>
      </c>
    </row>
    <row r="42" ht="15.75" customHeight="1">
      <c r="A42" s="156">
        <v>1992.0</v>
      </c>
      <c r="B42" s="156" t="s">
        <v>134</v>
      </c>
      <c r="C42" s="156">
        <v>5.0</v>
      </c>
      <c r="D42" s="156">
        <v>6.12148691679358</v>
      </c>
    </row>
    <row r="43" ht="15.75" customHeight="1">
      <c r="A43" s="156">
        <v>1992.0</v>
      </c>
      <c r="B43" s="156" t="s">
        <v>134</v>
      </c>
      <c r="C43" s="156">
        <v>10.0</v>
      </c>
      <c r="D43" s="156">
        <v>8.16198255572477</v>
      </c>
    </row>
    <row r="44" ht="15.75" customHeight="1">
      <c r="A44" s="156">
        <v>1992.0</v>
      </c>
      <c r="B44" s="156" t="s">
        <v>134</v>
      </c>
      <c r="C44" s="156">
        <v>15.0</v>
      </c>
      <c r="D44" s="156">
        <v>39.7896649591582</v>
      </c>
    </row>
    <row r="45" ht="15.75" customHeight="1">
      <c r="A45" s="156">
        <v>1992.0</v>
      </c>
      <c r="B45" s="156" t="s">
        <v>134</v>
      </c>
      <c r="C45" s="156">
        <v>20.0</v>
      </c>
      <c r="D45" s="156">
        <v>134.672712169459</v>
      </c>
    </row>
    <row r="46" ht="15.75" customHeight="1">
      <c r="A46" s="156">
        <v>1992.0</v>
      </c>
      <c r="B46" s="156" t="s">
        <v>134</v>
      </c>
      <c r="C46" s="156">
        <v>25.0</v>
      </c>
      <c r="D46" s="156">
        <v>105.085525404956</v>
      </c>
    </row>
    <row r="47" ht="15.75" customHeight="1">
      <c r="A47" s="156">
        <v>1992.0</v>
      </c>
      <c r="B47" s="156" t="s">
        <v>134</v>
      </c>
      <c r="C47" s="156">
        <v>30.0</v>
      </c>
      <c r="D47" s="156">
        <v>118.348747058009</v>
      </c>
    </row>
    <row r="48" ht="15.75" customHeight="1">
      <c r="A48" s="156">
        <v>1992.0</v>
      </c>
      <c r="B48" s="156" t="s">
        <v>134</v>
      </c>
      <c r="C48" s="156">
        <v>35.0</v>
      </c>
      <c r="D48" s="156">
        <v>55.0933822511422</v>
      </c>
    </row>
    <row r="49" ht="15.75" customHeight="1">
      <c r="A49" s="156">
        <v>1992.0</v>
      </c>
      <c r="B49" s="156" t="s">
        <v>134</v>
      </c>
      <c r="C49" s="156">
        <v>40.0</v>
      </c>
      <c r="D49" s="156">
        <v>59.0772070700078</v>
      </c>
    </row>
    <row r="50" ht="15.75" customHeight="1">
      <c r="A50" s="156">
        <v>1992.0</v>
      </c>
      <c r="B50" s="156" t="s">
        <v>134</v>
      </c>
      <c r="C50" s="156">
        <v>45.0</v>
      </c>
      <c r="D50" s="156">
        <v>52.0326387927454</v>
      </c>
    </row>
    <row r="51" ht="15.75" customHeight="1">
      <c r="A51" s="156">
        <v>1992.0</v>
      </c>
      <c r="B51" s="156" t="s">
        <v>134</v>
      </c>
      <c r="C51" s="156">
        <v>50.0</v>
      </c>
      <c r="D51" s="156">
        <v>33.6681780423647</v>
      </c>
    </row>
    <row r="52" ht="15.75" customHeight="1">
      <c r="A52" s="156">
        <v>1992.0</v>
      </c>
      <c r="B52" s="156" t="s">
        <v>134</v>
      </c>
      <c r="C52" s="156">
        <v>55.0</v>
      </c>
      <c r="D52" s="156">
        <v>25.5061954866399</v>
      </c>
    </row>
    <row r="53" ht="15.75" customHeight="1">
      <c r="A53" s="156">
        <v>1992.0</v>
      </c>
      <c r="B53" s="156" t="s">
        <v>134</v>
      </c>
      <c r="C53" s="156">
        <v>60.0</v>
      </c>
      <c r="D53" s="156">
        <v>23.4656998477087</v>
      </c>
    </row>
    <row r="54" ht="15.75" customHeight="1">
      <c r="A54" s="156">
        <v>1992.0</v>
      </c>
      <c r="B54" s="156" t="s">
        <v>134</v>
      </c>
      <c r="C54" s="156">
        <v>65.0</v>
      </c>
      <c r="D54" s="156">
        <v>11.2227260141216</v>
      </c>
    </row>
    <row r="55" ht="15.75" customHeight="1">
      <c r="A55" s="156">
        <v>1992.0</v>
      </c>
      <c r="B55" s="156" t="s">
        <v>134</v>
      </c>
      <c r="C55" s="156">
        <v>70.0</v>
      </c>
      <c r="D55" s="156">
        <v>13.2632216530527</v>
      </c>
    </row>
    <row r="56" ht="15.75" customHeight="1">
      <c r="A56" s="156">
        <v>1992.0</v>
      </c>
      <c r="B56" s="156" t="s">
        <v>134</v>
      </c>
      <c r="C56" s="156">
        <v>75.0</v>
      </c>
      <c r="D56" s="156">
        <v>5.10123909732798</v>
      </c>
    </row>
    <row r="57" ht="15.75" customHeight="1">
      <c r="A57" s="156">
        <v>1992.0</v>
      </c>
      <c r="B57" s="156" t="s">
        <v>134</v>
      </c>
      <c r="C57" s="156">
        <v>80.0</v>
      </c>
      <c r="D57" s="156">
        <v>5.10123909732798</v>
      </c>
    </row>
    <row r="58" ht="15.75" customHeight="1">
      <c r="A58" s="156">
        <v>1992.0</v>
      </c>
      <c r="B58" s="156" t="s">
        <v>134</v>
      </c>
      <c r="C58" s="156">
        <v>85.0</v>
      </c>
      <c r="D58" s="156">
        <v>1.0202478194656</v>
      </c>
    </row>
    <row r="59" ht="15.75" customHeight="1">
      <c r="A59" s="156">
        <v>1993.0</v>
      </c>
      <c r="B59" s="156" t="s">
        <v>134</v>
      </c>
      <c r="C59" s="156">
        <v>0.0</v>
      </c>
      <c r="D59" s="156">
        <v>1.01746031746032</v>
      </c>
    </row>
    <row r="60" ht="15.75" customHeight="1">
      <c r="A60" s="156">
        <v>1993.0</v>
      </c>
      <c r="B60" s="156" t="s">
        <v>134</v>
      </c>
      <c r="C60" s="156">
        <v>1.0</v>
      </c>
      <c r="D60" s="156">
        <v>0.0</v>
      </c>
    </row>
    <row r="61" ht="15.75" customHeight="1">
      <c r="A61" s="156">
        <v>1993.0</v>
      </c>
      <c r="B61" s="156" t="s">
        <v>134</v>
      </c>
      <c r="C61" s="156">
        <v>5.0</v>
      </c>
      <c r="D61" s="156">
        <v>2.03492063492063</v>
      </c>
    </row>
    <row r="62" ht="15.75" customHeight="1">
      <c r="A62" s="156">
        <v>1993.0</v>
      </c>
      <c r="B62" s="156" t="s">
        <v>134</v>
      </c>
      <c r="C62" s="156">
        <v>10.0</v>
      </c>
      <c r="D62" s="156">
        <v>2.03492063492063</v>
      </c>
    </row>
    <row r="63" ht="15.75" customHeight="1">
      <c r="A63" s="156">
        <v>1993.0</v>
      </c>
      <c r="B63" s="156" t="s">
        <v>134</v>
      </c>
      <c r="C63" s="156">
        <v>15.0</v>
      </c>
      <c r="D63" s="156">
        <v>46.8031746031746</v>
      </c>
    </row>
    <row r="64" ht="15.75" customHeight="1">
      <c r="A64" s="156">
        <v>1993.0</v>
      </c>
      <c r="B64" s="156" t="s">
        <v>134</v>
      </c>
      <c r="C64" s="156">
        <v>20.0</v>
      </c>
      <c r="D64" s="156">
        <v>109.885714285714</v>
      </c>
    </row>
    <row r="65" ht="15.75" customHeight="1">
      <c r="A65" s="156">
        <v>1993.0</v>
      </c>
      <c r="B65" s="156" t="s">
        <v>134</v>
      </c>
      <c r="C65" s="156">
        <v>25.0</v>
      </c>
      <c r="D65" s="156">
        <v>114.973015873016</v>
      </c>
    </row>
    <row r="66" ht="15.75" customHeight="1">
      <c r="A66" s="156">
        <v>1993.0</v>
      </c>
      <c r="B66" s="156" t="s">
        <v>134</v>
      </c>
      <c r="C66" s="156">
        <v>30.0</v>
      </c>
      <c r="D66" s="156">
        <v>70.2047619047619</v>
      </c>
    </row>
    <row r="67" ht="15.75" customHeight="1">
      <c r="A67" s="156">
        <v>1993.0</v>
      </c>
      <c r="B67" s="156" t="s">
        <v>134</v>
      </c>
      <c r="C67" s="156">
        <v>35.0</v>
      </c>
      <c r="D67" s="156">
        <v>83.431746031746</v>
      </c>
    </row>
    <row r="68" ht="15.75" customHeight="1">
      <c r="A68" s="156">
        <v>1993.0</v>
      </c>
      <c r="B68" s="156" t="s">
        <v>134</v>
      </c>
      <c r="C68" s="156">
        <v>40.0</v>
      </c>
      <c r="D68" s="156">
        <v>65.1174603174603</v>
      </c>
    </row>
    <row r="69" ht="15.75" customHeight="1">
      <c r="A69" s="156">
        <v>1993.0</v>
      </c>
      <c r="B69" s="156" t="s">
        <v>134</v>
      </c>
      <c r="C69" s="156">
        <v>45.0</v>
      </c>
      <c r="D69" s="156">
        <v>36.6285714285714</v>
      </c>
    </row>
    <row r="70" ht="15.75" customHeight="1">
      <c r="A70" s="156">
        <v>1993.0</v>
      </c>
      <c r="B70" s="156" t="s">
        <v>134</v>
      </c>
      <c r="C70" s="156">
        <v>50.0</v>
      </c>
      <c r="D70" s="156">
        <v>29.5063492063492</v>
      </c>
    </row>
    <row r="71" ht="15.75" customHeight="1">
      <c r="A71" s="156">
        <v>1993.0</v>
      </c>
      <c r="B71" s="156" t="s">
        <v>134</v>
      </c>
      <c r="C71" s="156">
        <v>55.0</v>
      </c>
      <c r="D71" s="156">
        <v>31.5412698412698</v>
      </c>
    </row>
    <row r="72" ht="15.75" customHeight="1">
      <c r="A72" s="156">
        <v>1993.0</v>
      </c>
      <c r="B72" s="156" t="s">
        <v>134</v>
      </c>
      <c r="C72" s="156">
        <v>60.0</v>
      </c>
      <c r="D72" s="156">
        <v>13.2269841269841</v>
      </c>
    </row>
    <row r="73" ht="15.75" customHeight="1">
      <c r="A73" s="156">
        <v>1993.0</v>
      </c>
      <c r="B73" s="156" t="s">
        <v>134</v>
      </c>
      <c r="C73" s="156">
        <v>65.0</v>
      </c>
      <c r="D73" s="156">
        <v>15.2619047619048</v>
      </c>
    </row>
    <row r="74" ht="15.75" customHeight="1">
      <c r="A74" s="156">
        <v>1993.0</v>
      </c>
      <c r="B74" s="156" t="s">
        <v>134</v>
      </c>
      <c r="C74" s="156">
        <v>70.0</v>
      </c>
      <c r="D74" s="156">
        <v>10.1746031746032</v>
      </c>
    </row>
    <row r="75" ht="15.75" customHeight="1">
      <c r="A75" s="156">
        <v>1993.0</v>
      </c>
      <c r="B75" s="156" t="s">
        <v>134</v>
      </c>
      <c r="C75" s="156">
        <v>75.0</v>
      </c>
      <c r="D75" s="156">
        <v>4.06984126984127</v>
      </c>
    </row>
    <row r="76" ht="15.75" customHeight="1">
      <c r="A76" s="156">
        <v>1993.0</v>
      </c>
      <c r="B76" s="156" t="s">
        <v>134</v>
      </c>
      <c r="C76" s="156">
        <v>80.0</v>
      </c>
      <c r="D76" s="156">
        <v>2.03492063492063</v>
      </c>
    </row>
    <row r="77" ht="15.75" customHeight="1">
      <c r="A77" s="156">
        <v>1993.0</v>
      </c>
      <c r="B77" s="156" t="s">
        <v>134</v>
      </c>
      <c r="C77" s="156">
        <v>85.0</v>
      </c>
      <c r="D77" s="156">
        <v>3.05238095238095</v>
      </c>
    </row>
    <row r="78" ht="15.75" customHeight="1">
      <c r="A78" s="156">
        <v>1994.0</v>
      </c>
      <c r="B78" s="156" t="s">
        <v>134</v>
      </c>
      <c r="C78" s="156">
        <v>0.0</v>
      </c>
      <c r="D78" s="156">
        <v>1.02028081123245</v>
      </c>
    </row>
    <row r="79" ht="15.75" customHeight="1">
      <c r="A79" s="156">
        <v>1994.0</v>
      </c>
      <c r="B79" s="156" t="s">
        <v>134</v>
      </c>
      <c r="C79" s="156">
        <v>5.0</v>
      </c>
      <c r="D79" s="156">
        <v>2.0405616224649</v>
      </c>
    </row>
    <row r="80" ht="15.75" customHeight="1">
      <c r="A80" s="156">
        <v>1994.0</v>
      </c>
      <c r="B80" s="156" t="s">
        <v>134</v>
      </c>
      <c r="C80" s="156">
        <v>10.0</v>
      </c>
      <c r="D80" s="156">
        <v>5.10140405616225</v>
      </c>
    </row>
    <row r="81" ht="15.75" customHeight="1">
      <c r="A81" s="156">
        <v>1994.0</v>
      </c>
      <c r="B81" s="156" t="s">
        <v>134</v>
      </c>
      <c r="C81" s="156">
        <v>15.0</v>
      </c>
      <c r="D81" s="156">
        <v>49.99375975039</v>
      </c>
    </row>
    <row r="82" ht="15.75" customHeight="1">
      <c r="A82" s="156">
        <v>1994.0</v>
      </c>
      <c r="B82" s="156" t="s">
        <v>134</v>
      </c>
      <c r="C82" s="156">
        <v>20.0</v>
      </c>
      <c r="D82" s="156">
        <v>107.129485179407</v>
      </c>
    </row>
    <row r="83" ht="15.75" customHeight="1">
      <c r="A83" s="156">
        <v>1994.0</v>
      </c>
      <c r="B83" s="156" t="s">
        <v>134</v>
      </c>
      <c r="C83" s="156">
        <v>25.0</v>
      </c>
      <c r="D83" s="156">
        <v>120.393135725429</v>
      </c>
    </row>
    <row r="84" ht="15.75" customHeight="1">
      <c r="A84" s="156">
        <v>1994.0</v>
      </c>
      <c r="B84" s="156" t="s">
        <v>134</v>
      </c>
      <c r="C84" s="156">
        <v>30.0</v>
      </c>
      <c r="D84" s="156">
        <v>83.6630265210608</v>
      </c>
    </row>
    <row r="85" ht="15.75" customHeight="1">
      <c r="A85" s="156">
        <v>1994.0</v>
      </c>
      <c r="B85" s="156" t="s">
        <v>134</v>
      </c>
      <c r="C85" s="156">
        <v>35.0</v>
      </c>
      <c r="D85" s="156">
        <v>87.7441497659906</v>
      </c>
    </row>
    <row r="86" ht="15.75" customHeight="1">
      <c r="A86" s="156">
        <v>1994.0</v>
      </c>
      <c r="B86" s="156" t="s">
        <v>134</v>
      </c>
      <c r="C86" s="156">
        <v>40.0</v>
      </c>
      <c r="D86" s="156">
        <v>51.0140405616225</v>
      </c>
    </row>
    <row r="87" ht="15.75" customHeight="1">
      <c r="A87" s="156">
        <v>1994.0</v>
      </c>
      <c r="B87" s="156" t="s">
        <v>134</v>
      </c>
      <c r="C87" s="156">
        <v>45.0</v>
      </c>
      <c r="D87" s="156">
        <v>29.588143525741</v>
      </c>
    </row>
    <row r="88" ht="15.75" customHeight="1">
      <c r="A88" s="156">
        <v>1994.0</v>
      </c>
      <c r="B88" s="156" t="s">
        <v>134</v>
      </c>
      <c r="C88" s="156">
        <v>50.0</v>
      </c>
      <c r="D88" s="156">
        <v>28.5678627145086</v>
      </c>
    </row>
    <row r="89" ht="15.75" customHeight="1">
      <c r="A89" s="156">
        <v>1994.0</v>
      </c>
      <c r="B89" s="156" t="s">
        <v>134</v>
      </c>
      <c r="C89" s="156">
        <v>55.0</v>
      </c>
      <c r="D89" s="156">
        <v>33.6692667706708</v>
      </c>
    </row>
    <row r="90" ht="15.75" customHeight="1">
      <c r="A90" s="156">
        <v>1994.0</v>
      </c>
      <c r="B90" s="156" t="s">
        <v>134</v>
      </c>
      <c r="C90" s="156">
        <v>60.0</v>
      </c>
      <c r="D90" s="156">
        <v>27.5475819032761</v>
      </c>
    </row>
    <row r="91" ht="15.75" customHeight="1">
      <c r="A91" s="156">
        <v>1994.0</v>
      </c>
      <c r="B91" s="156" t="s">
        <v>134</v>
      </c>
      <c r="C91" s="156">
        <v>65.0</v>
      </c>
      <c r="D91" s="156">
        <v>10.2028081123245</v>
      </c>
    </row>
    <row r="92" ht="15.75" customHeight="1">
      <c r="A92" s="156">
        <v>1994.0</v>
      </c>
      <c r="B92" s="156" t="s">
        <v>134</v>
      </c>
      <c r="C92" s="156">
        <v>70.0</v>
      </c>
      <c r="D92" s="156">
        <v>7.14196567862715</v>
      </c>
    </row>
    <row r="93" ht="15.75" customHeight="1">
      <c r="A93" s="156">
        <v>1994.0</v>
      </c>
      <c r="B93" s="156" t="s">
        <v>134</v>
      </c>
      <c r="C93" s="156">
        <v>75.0</v>
      </c>
      <c r="D93" s="156">
        <v>3.06084243369735</v>
      </c>
    </row>
    <row r="94" ht="15.75" customHeight="1">
      <c r="A94" s="156">
        <v>1994.0</v>
      </c>
      <c r="B94" s="156" t="s">
        <v>134</v>
      </c>
      <c r="C94" s="156">
        <v>80.0</v>
      </c>
      <c r="D94" s="156">
        <v>3.06084243369735</v>
      </c>
    </row>
    <row r="95" ht="15.75" customHeight="1">
      <c r="A95" s="156">
        <v>1994.0</v>
      </c>
      <c r="B95" s="156" t="s">
        <v>134</v>
      </c>
      <c r="C95" s="156">
        <v>85.0</v>
      </c>
      <c r="D95" s="156">
        <v>3.06084243369735</v>
      </c>
    </row>
    <row r="96" ht="15.75" customHeight="1">
      <c r="A96" s="156">
        <v>1995.0</v>
      </c>
      <c r="B96" s="156" t="s">
        <v>134</v>
      </c>
      <c r="C96" s="156">
        <v>1.0</v>
      </c>
      <c r="D96" s="156">
        <v>0.0</v>
      </c>
    </row>
    <row r="97" ht="15.75" customHeight="1">
      <c r="A97" s="156">
        <v>1995.0</v>
      </c>
      <c r="B97" s="156" t="s">
        <v>134</v>
      </c>
      <c r="C97" s="156">
        <v>5.0</v>
      </c>
      <c r="D97" s="156">
        <v>1.02900552486188</v>
      </c>
    </row>
    <row r="98" ht="15.75" customHeight="1">
      <c r="A98" s="156">
        <v>1995.0</v>
      </c>
      <c r="B98" s="156" t="s">
        <v>134</v>
      </c>
      <c r="C98" s="156">
        <v>10.0</v>
      </c>
      <c r="D98" s="156">
        <v>5.14502762430939</v>
      </c>
    </row>
    <row r="99" ht="15.75" customHeight="1">
      <c r="A99" s="156">
        <v>1995.0</v>
      </c>
      <c r="B99" s="156" t="s">
        <v>134</v>
      </c>
      <c r="C99" s="156">
        <v>15.0</v>
      </c>
      <c r="D99" s="156">
        <v>43.2182320441989</v>
      </c>
    </row>
    <row r="100" ht="15.75" customHeight="1">
      <c r="A100" s="156">
        <v>1995.0</v>
      </c>
      <c r="B100" s="156" t="s">
        <v>134</v>
      </c>
      <c r="C100" s="156">
        <v>20.0</v>
      </c>
      <c r="D100" s="156">
        <v>82.3204419889503</v>
      </c>
    </row>
    <row r="101" ht="15.75" customHeight="1">
      <c r="A101" s="156">
        <v>1995.0</v>
      </c>
      <c r="B101" s="156" t="s">
        <v>134</v>
      </c>
      <c r="C101" s="156">
        <v>25.0</v>
      </c>
      <c r="D101" s="156">
        <v>81.2914364640884</v>
      </c>
    </row>
    <row r="102" ht="15.75" customHeight="1">
      <c r="A102" s="156">
        <v>1995.0</v>
      </c>
      <c r="B102" s="156" t="s">
        <v>134</v>
      </c>
      <c r="C102" s="156">
        <v>30.0</v>
      </c>
      <c r="D102" s="156">
        <v>66.8853591160221</v>
      </c>
    </row>
    <row r="103" ht="15.75" customHeight="1">
      <c r="A103" s="156">
        <v>1995.0</v>
      </c>
      <c r="B103" s="156" t="s">
        <v>134</v>
      </c>
      <c r="C103" s="156">
        <v>35.0</v>
      </c>
      <c r="D103" s="156">
        <v>69.9723756906077</v>
      </c>
    </row>
    <row r="104" ht="15.75" customHeight="1">
      <c r="A104" s="156">
        <v>1995.0</v>
      </c>
      <c r="B104" s="156" t="s">
        <v>134</v>
      </c>
      <c r="C104" s="156">
        <v>40.0</v>
      </c>
      <c r="D104" s="156">
        <v>66.8853591160221</v>
      </c>
    </row>
    <row r="105" ht="15.75" customHeight="1">
      <c r="A105" s="156">
        <v>1995.0</v>
      </c>
      <c r="B105" s="156" t="s">
        <v>134</v>
      </c>
      <c r="C105" s="156">
        <v>45.0</v>
      </c>
      <c r="D105" s="156">
        <v>45.2762430939227</v>
      </c>
    </row>
    <row r="106" ht="15.75" customHeight="1">
      <c r="A106" s="156">
        <v>1995.0</v>
      </c>
      <c r="B106" s="156" t="s">
        <v>134</v>
      </c>
      <c r="C106" s="156">
        <v>50.0</v>
      </c>
      <c r="D106" s="156">
        <v>25.725138121547</v>
      </c>
    </row>
    <row r="107" ht="15.75" customHeight="1">
      <c r="A107" s="156">
        <v>1995.0</v>
      </c>
      <c r="B107" s="156" t="s">
        <v>134</v>
      </c>
      <c r="C107" s="156">
        <v>55.0</v>
      </c>
      <c r="D107" s="156">
        <v>28.8121546961326</v>
      </c>
    </row>
    <row r="108" ht="15.75" customHeight="1">
      <c r="A108" s="156">
        <v>1995.0</v>
      </c>
      <c r="B108" s="156" t="s">
        <v>134</v>
      </c>
      <c r="C108" s="156">
        <v>60.0</v>
      </c>
      <c r="D108" s="156">
        <v>16.4640883977901</v>
      </c>
    </row>
    <row r="109" ht="15.75" customHeight="1">
      <c r="A109" s="156">
        <v>1995.0</v>
      </c>
      <c r="B109" s="156" t="s">
        <v>134</v>
      </c>
      <c r="C109" s="156">
        <v>65.0</v>
      </c>
      <c r="D109" s="156">
        <v>8.23204419889503</v>
      </c>
    </row>
    <row r="110" ht="15.75" customHeight="1">
      <c r="A110" s="156">
        <v>1995.0</v>
      </c>
      <c r="B110" s="156" t="s">
        <v>134</v>
      </c>
      <c r="C110" s="156">
        <v>70.0</v>
      </c>
      <c r="D110" s="156">
        <v>8.23204419889503</v>
      </c>
    </row>
    <row r="111" ht="15.75" customHeight="1">
      <c r="A111" s="156">
        <v>1995.0</v>
      </c>
      <c r="B111" s="156" t="s">
        <v>134</v>
      </c>
      <c r="C111" s="156">
        <v>75.0</v>
      </c>
      <c r="D111" s="156">
        <v>4.11602209944751</v>
      </c>
    </row>
    <row r="112" ht="15.75" customHeight="1">
      <c r="A112" s="156">
        <v>1995.0</v>
      </c>
      <c r="B112" s="156" t="s">
        <v>134</v>
      </c>
      <c r="C112" s="156">
        <v>80.0</v>
      </c>
      <c r="D112" s="156">
        <v>2.05801104972376</v>
      </c>
    </row>
    <row r="113" ht="15.75" customHeight="1">
      <c r="A113" s="156">
        <v>1995.0</v>
      </c>
      <c r="B113" s="156" t="s">
        <v>134</v>
      </c>
      <c r="C113" s="156">
        <v>85.0</v>
      </c>
      <c r="D113" s="156">
        <v>3.08701657458564</v>
      </c>
    </row>
    <row r="114" ht="15.75" customHeight="1">
      <c r="A114" s="156">
        <v>1996.0</v>
      </c>
      <c r="B114" s="156" t="s">
        <v>134</v>
      </c>
      <c r="C114" s="156">
        <v>0.0</v>
      </c>
      <c r="D114" s="156">
        <v>1.014</v>
      </c>
    </row>
    <row r="115" ht="15.75" customHeight="1">
      <c r="A115" s="156">
        <v>1996.0</v>
      </c>
      <c r="B115" s="156" t="s">
        <v>134</v>
      </c>
      <c r="C115" s="156">
        <v>1.0</v>
      </c>
      <c r="D115" s="156">
        <v>1.014</v>
      </c>
    </row>
    <row r="116" ht="15.75" customHeight="1">
      <c r="A116" s="156">
        <v>1996.0</v>
      </c>
      <c r="B116" s="156" t="s">
        <v>134</v>
      </c>
      <c r="C116" s="156">
        <v>10.0</v>
      </c>
      <c r="D116" s="156">
        <v>9.126</v>
      </c>
    </row>
    <row r="117" ht="15.75" customHeight="1">
      <c r="A117" s="156">
        <v>1996.0</v>
      </c>
      <c r="B117" s="156" t="s">
        <v>134</v>
      </c>
      <c r="C117" s="156">
        <v>15.0</v>
      </c>
      <c r="D117" s="156">
        <v>28.392</v>
      </c>
    </row>
    <row r="118" ht="15.75" customHeight="1">
      <c r="A118" s="156">
        <v>1996.0</v>
      </c>
      <c r="B118" s="156" t="s">
        <v>134</v>
      </c>
      <c r="C118" s="156">
        <v>20.0</v>
      </c>
      <c r="D118" s="156">
        <v>82.134</v>
      </c>
    </row>
    <row r="119" ht="15.75" customHeight="1">
      <c r="A119" s="156">
        <v>1996.0</v>
      </c>
      <c r="B119" s="156" t="s">
        <v>134</v>
      </c>
      <c r="C119" s="156">
        <v>25.0</v>
      </c>
      <c r="D119" s="156">
        <v>75.036</v>
      </c>
    </row>
    <row r="120" ht="15.75" customHeight="1">
      <c r="A120" s="156">
        <v>1996.0</v>
      </c>
      <c r="B120" s="156" t="s">
        <v>134</v>
      </c>
      <c r="C120" s="156">
        <v>30.0</v>
      </c>
      <c r="D120" s="156">
        <v>81.12</v>
      </c>
    </row>
    <row r="121" ht="15.75" customHeight="1">
      <c r="A121" s="156">
        <v>1996.0</v>
      </c>
      <c r="B121" s="156" t="s">
        <v>134</v>
      </c>
      <c r="C121" s="156">
        <v>35.0</v>
      </c>
      <c r="D121" s="156">
        <v>51.714</v>
      </c>
    </row>
    <row r="122" ht="15.75" customHeight="1">
      <c r="A122" s="156">
        <v>1996.0</v>
      </c>
      <c r="B122" s="156" t="s">
        <v>134</v>
      </c>
      <c r="C122" s="156">
        <v>40.0</v>
      </c>
      <c r="D122" s="156">
        <v>43.602</v>
      </c>
    </row>
    <row r="123" ht="15.75" customHeight="1">
      <c r="A123" s="156">
        <v>1996.0</v>
      </c>
      <c r="B123" s="156" t="s">
        <v>134</v>
      </c>
      <c r="C123" s="156">
        <v>45.0</v>
      </c>
      <c r="D123" s="156">
        <v>40.56</v>
      </c>
    </row>
    <row r="124" ht="15.75" customHeight="1">
      <c r="A124" s="156">
        <v>1996.0</v>
      </c>
      <c r="B124" s="156" t="s">
        <v>134</v>
      </c>
      <c r="C124" s="156">
        <v>50.0</v>
      </c>
      <c r="D124" s="156">
        <v>30.42</v>
      </c>
    </row>
    <row r="125" ht="15.75" customHeight="1">
      <c r="A125" s="156">
        <v>1996.0</v>
      </c>
      <c r="B125" s="156" t="s">
        <v>134</v>
      </c>
      <c r="C125" s="156">
        <v>55.0</v>
      </c>
      <c r="D125" s="156">
        <v>19.266</v>
      </c>
    </row>
    <row r="126" ht="15.75" customHeight="1">
      <c r="A126" s="156">
        <v>1996.0</v>
      </c>
      <c r="B126" s="156" t="s">
        <v>134</v>
      </c>
      <c r="C126" s="156">
        <v>60.0</v>
      </c>
      <c r="D126" s="156">
        <v>14.196</v>
      </c>
    </row>
    <row r="127" ht="15.75" customHeight="1">
      <c r="A127" s="156">
        <v>1996.0</v>
      </c>
      <c r="B127" s="156" t="s">
        <v>134</v>
      </c>
      <c r="C127" s="156">
        <v>65.0</v>
      </c>
      <c r="D127" s="156">
        <v>11.154</v>
      </c>
    </row>
    <row r="128" ht="15.75" customHeight="1">
      <c r="A128" s="156">
        <v>1996.0</v>
      </c>
      <c r="B128" s="156" t="s">
        <v>134</v>
      </c>
      <c r="C128" s="156">
        <v>70.0</v>
      </c>
      <c r="D128" s="156">
        <v>8.112</v>
      </c>
    </row>
    <row r="129" ht="15.75" customHeight="1">
      <c r="A129" s="156">
        <v>1996.0</v>
      </c>
      <c r="B129" s="156" t="s">
        <v>134</v>
      </c>
      <c r="C129" s="156">
        <v>75.0</v>
      </c>
      <c r="D129" s="156">
        <v>6.084</v>
      </c>
    </row>
    <row r="130" ht="15.75" customHeight="1">
      <c r="A130" s="156">
        <v>1996.0</v>
      </c>
      <c r="B130" s="156" t="s">
        <v>134</v>
      </c>
      <c r="C130" s="156">
        <v>80.0</v>
      </c>
      <c r="D130" s="156">
        <v>1.014</v>
      </c>
    </row>
    <row r="131" ht="15.75" customHeight="1">
      <c r="A131" s="156">
        <v>1996.0</v>
      </c>
      <c r="B131" s="156" t="s">
        <v>134</v>
      </c>
      <c r="C131" s="156">
        <v>85.0</v>
      </c>
      <c r="D131" s="156">
        <v>3.042</v>
      </c>
    </row>
    <row r="132" ht="15.75" customHeight="1">
      <c r="A132" s="156">
        <v>1997.0</v>
      </c>
      <c r="B132" s="156" t="s">
        <v>134</v>
      </c>
      <c r="C132" s="156">
        <v>0.0</v>
      </c>
      <c r="D132" s="156">
        <v>1.01663585951941</v>
      </c>
    </row>
    <row r="133" ht="15.75" customHeight="1">
      <c r="A133" s="156">
        <v>1997.0</v>
      </c>
      <c r="B133" s="156" t="s">
        <v>134</v>
      </c>
      <c r="C133" s="156">
        <v>1.0</v>
      </c>
      <c r="D133" s="156">
        <v>2.03327171903882</v>
      </c>
    </row>
    <row r="134" ht="15.75" customHeight="1">
      <c r="A134" s="156">
        <v>1997.0</v>
      </c>
      <c r="B134" s="156" t="s">
        <v>134</v>
      </c>
      <c r="C134" s="156">
        <v>5.0</v>
      </c>
      <c r="D134" s="156">
        <v>4.06654343807763</v>
      </c>
    </row>
    <row r="135" ht="15.75" customHeight="1">
      <c r="A135" s="156">
        <v>1997.0</v>
      </c>
      <c r="B135" s="156" t="s">
        <v>134</v>
      </c>
      <c r="C135" s="156">
        <v>10.0</v>
      </c>
      <c r="D135" s="156">
        <v>2.03327171903882</v>
      </c>
    </row>
    <row r="136" ht="15.75" customHeight="1">
      <c r="A136" s="156">
        <v>1997.0</v>
      </c>
      <c r="B136" s="156" t="s">
        <v>134</v>
      </c>
      <c r="C136" s="156">
        <v>15.0</v>
      </c>
      <c r="D136" s="156">
        <v>37.6155268022181</v>
      </c>
    </row>
    <row r="137" ht="15.75" customHeight="1">
      <c r="A137" s="156">
        <v>1997.0</v>
      </c>
      <c r="B137" s="156" t="s">
        <v>134</v>
      </c>
      <c r="C137" s="156">
        <v>20.0</v>
      </c>
      <c r="D137" s="156">
        <v>76.2476894639556</v>
      </c>
    </row>
    <row r="138" ht="15.75" customHeight="1">
      <c r="A138" s="156">
        <v>1997.0</v>
      </c>
      <c r="B138" s="156" t="s">
        <v>134</v>
      </c>
      <c r="C138" s="156">
        <v>25.0</v>
      </c>
      <c r="D138" s="156">
        <v>94.547134935305</v>
      </c>
    </row>
    <row r="139" ht="15.75" customHeight="1">
      <c r="A139" s="156">
        <v>1997.0</v>
      </c>
      <c r="B139" s="156" t="s">
        <v>134</v>
      </c>
      <c r="C139" s="156">
        <v>30.0</v>
      </c>
      <c r="D139" s="156">
        <v>66.0813308687616</v>
      </c>
    </row>
    <row r="140" ht="15.75" customHeight="1">
      <c r="A140" s="156">
        <v>1997.0</v>
      </c>
      <c r="B140" s="156" t="s">
        <v>134</v>
      </c>
      <c r="C140" s="156">
        <v>35.0</v>
      </c>
      <c r="D140" s="156">
        <v>64.0480591497227</v>
      </c>
    </row>
    <row r="141" ht="15.75" customHeight="1">
      <c r="A141" s="156">
        <v>1997.0</v>
      </c>
      <c r="B141" s="156" t="s">
        <v>134</v>
      </c>
      <c r="C141" s="156">
        <v>40.0</v>
      </c>
      <c r="D141" s="156">
        <v>48.7985212569316</v>
      </c>
    </row>
    <row r="142" ht="15.75" customHeight="1">
      <c r="A142" s="156">
        <v>1997.0</v>
      </c>
      <c r="B142" s="156" t="s">
        <v>134</v>
      </c>
      <c r="C142" s="156">
        <v>45.0</v>
      </c>
      <c r="D142" s="156">
        <v>32.5323475046211</v>
      </c>
    </row>
    <row r="143" ht="15.75" customHeight="1">
      <c r="A143" s="156">
        <v>1997.0</v>
      </c>
      <c r="B143" s="156" t="s">
        <v>134</v>
      </c>
      <c r="C143" s="156">
        <v>50.0</v>
      </c>
      <c r="D143" s="156">
        <v>34.5656192236599</v>
      </c>
    </row>
    <row r="144" ht="15.75" customHeight="1">
      <c r="A144" s="156">
        <v>1997.0</v>
      </c>
      <c r="B144" s="156" t="s">
        <v>134</v>
      </c>
      <c r="C144" s="156">
        <v>55.0</v>
      </c>
      <c r="D144" s="156">
        <v>25.4158964879852</v>
      </c>
    </row>
    <row r="145" ht="15.75" customHeight="1">
      <c r="A145" s="156">
        <v>1997.0</v>
      </c>
      <c r="B145" s="156" t="s">
        <v>134</v>
      </c>
      <c r="C145" s="156">
        <v>60.0</v>
      </c>
      <c r="D145" s="156">
        <v>23.3826247689464</v>
      </c>
    </row>
    <row r="146" ht="15.75" customHeight="1">
      <c r="A146" s="156">
        <v>1997.0</v>
      </c>
      <c r="B146" s="156" t="s">
        <v>134</v>
      </c>
      <c r="C146" s="156">
        <v>65.0</v>
      </c>
      <c r="D146" s="156">
        <v>10.1663585951941</v>
      </c>
    </row>
    <row r="147" ht="15.75" customHeight="1">
      <c r="A147" s="156">
        <v>1997.0</v>
      </c>
      <c r="B147" s="156" t="s">
        <v>134</v>
      </c>
      <c r="C147" s="156">
        <v>70.0</v>
      </c>
      <c r="D147" s="156">
        <v>9.14972273567468</v>
      </c>
    </row>
    <row r="148" ht="15.75" customHeight="1">
      <c r="A148" s="156">
        <v>1997.0</v>
      </c>
      <c r="B148" s="156" t="s">
        <v>134</v>
      </c>
      <c r="C148" s="156">
        <v>75.0</v>
      </c>
      <c r="D148" s="156">
        <v>9.14972273567468</v>
      </c>
    </row>
    <row r="149" ht="15.75" customHeight="1">
      <c r="A149" s="156">
        <v>1997.0</v>
      </c>
      <c r="B149" s="156" t="s">
        <v>134</v>
      </c>
      <c r="C149" s="156">
        <v>80.0</v>
      </c>
      <c r="D149" s="156">
        <v>3.04990757855823</v>
      </c>
    </row>
    <row r="150" ht="15.75" customHeight="1">
      <c r="A150" s="156">
        <v>1997.0</v>
      </c>
      <c r="B150" s="156" t="s">
        <v>134</v>
      </c>
      <c r="C150" s="156">
        <v>85.0</v>
      </c>
      <c r="D150" s="156">
        <v>6.09981515711645</v>
      </c>
    </row>
    <row r="151" ht="15.75" customHeight="1">
      <c r="A151" s="156">
        <v>1998.0</v>
      </c>
      <c r="B151" s="156" t="s">
        <v>134</v>
      </c>
      <c r="C151" s="156">
        <v>1.0</v>
      </c>
      <c r="D151" s="156">
        <v>1.0158371040724</v>
      </c>
    </row>
    <row r="152" ht="15.75" customHeight="1">
      <c r="A152" s="156">
        <v>1998.0</v>
      </c>
      <c r="B152" s="156" t="s">
        <v>134</v>
      </c>
      <c r="C152" s="156">
        <v>5.0</v>
      </c>
      <c r="D152" s="156">
        <v>2.0316742081448</v>
      </c>
    </row>
    <row r="153" ht="15.75" customHeight="1">
      <c r="A153" s="156">
        <v>1998.0</v>
      </c>
      <c r="B153" s="156" t="s">
        <v>134</v>
      </c>
      <c r="C153" s="156">
        <v>10.0</v>
      </c>
      <c r="D153" s="156">
        <v>3.04751131221719</v>
      </c>
    </row>
    <row r="154" ht="15.75" customHeight="1">
      <c r="A154" s="156">
        <v>1998.0</v>
      </c>
      <c r="B154" s="156" t="s">
        <v>134</v>
      </c>
      <c r="C154" s="156">
        <v>15.0</v>
      </c>
      <c r="D154" s="156">
        <v>31.4909502262443</v>
      </c>
    </row>
    <row r="155" ht="15.75" customHeight="1">
      <c r="A155" s="156">
        <v>1998.0</v>
      </c>
      <c r="B155" s="156" t="s">
        <v>134</v>
      </c>
      <c r="C155" s="156">
        <v>20.0</v>
      </c>
      <c r="D155" s="156">
        <v>49.7760180995475</v>
      </c>
    </row>
    <row r="156" ht="15.75" customHeight="1">
      <c r="A156" s="156">
        <v>1998.0</v>
      </c>
      <c r="B156" s="156" t="s">
        <v>134</v>
      </c>
      <c r="C156" s="156">
        <v>25.0</v>
      </c>
      <c r="D156" s="156">
        <v>59.9343891402715</v>
      </c>
    </row>
    <row r="157" ht="15.75" customHeight="1">
      <c r="A157" s="156">
        <v>1998.0</v>
      </c>
      <c r="B157" s="156" t="s">
        <v>134</v>
      </c>
      <c r="C157" s="156">
        <v>30.0</v>
      </c>
      <c r="D157" s="156">
        <v>60.9502262443439</v>
      </c>
    </row>
    <row r="158" ht="15.75" customHeight="1">
      <c r="A158" s="156">
        <v>1998.0</v>
      </c>
      <c r="B158" s="156" t="s">
        <v>134</v>
      </c>
      <c r="C158" s="156">
        <v>35.0</v>
      </c>
      <c r="D158" s="156">
        <v>44.6968325791855</v>
      </c>
    </row>
    <row r="159" ht="15.75" customHeight="1">
      <c r="A159" s="156">
        <v>1998.0</v>
      </c>
      <c r="B159" s="156" t="s">
        <v>134</v>
      </c>
      <c r="C159" s="156">
        <v>40.0</v>
      </c>
      <c r="D159" s="156">
        <v>41.6493212669683</v>
      </c>
    </row>
    <row r="160" ht="15.75" customHeight="1">
      <c r="A160" s="156">
        <v>1998.0</v>
      </c>
      <c r="B160" s="156" t="s">
        <v>134</v>
      </c>
      <c r="C160" s="156">
        <v>45.0</v>
      </c>
      <c r="D160" s="156">
        <v>43.6809954751131</v>
      </c>
    </row>
    <row r="161" ht="15.75" customHeight="1">
      <c r="A161" s="156">
        <v>1998.0</v>
      </c>
      <c r="B161" s="156" t="s">
        <v>134</v>
      </c>
      <c r="C161" s="156">
        <v>50.0</v>
      </c>
      <c r="D161" s="156">
        <v>37.5859728506787</v>
      </c>
    </row>
    <row r="162" ht="15.75" customHeight="1">
      <c r="A162" s="156">
        <v>1998.0</v>
      </c>
      <c r="B162" s="156" t="s">
        <v>134</v>
      </c>
      <c r="C162" s="156">
        <v>55.0</v>
      </c>
      <c r="D162" s="156">
        <v>21.3325791855204</v>
      </c>
    </row>
    <row r="163" ht="15.75" customHeight="1">
      <c r="A163" s="156">
        <v>1998.0</v>
      </c>
      <c r="B163" s="156" t="s">
        <v>134</v>
      </c>
      <c r="C163" s="156">
        <v>60.0</v>
      </c>
      <c r="D163" s="156">
        <v>11.1742081447964</v>
      </c>
    </row>
    <row r="164" ht="15.75" customHeight="1">
      <c r="A164" s="156">
        <v>1998.0</v>
      </c>
      <c r="B164" s="156" t="s">
        <v>134</v>
      </c>
      <c r="C164" s="156">
        <v>65.0</v>
      </c>
      <c r="D164" s="156">
        <v>14.2217194570136</v>
      </c>
    </row>
    <row r="165" ht="15.75" customHeight="1">
      <c r="A165" s="156">
        <v>1998.0</v>
      </c>
      <c r="B165" s="156" t="s">
        <v>134</v>
      </c>
      <c r="C165" s="156">
        <v>70.0</v>
      </c>
      <c r="D165" s="156">
        <v>13.2058823529412</v>
      </c>
    </row>
    <row r="166" ht="15.75" customHeight="1">
      <c r="A166" s="156">
        <v>1998.0</v>
      </c>
      <c r="B166" s="156" t="s">
        <v>134</v>
      </c>
      <c r="C166" s="156">
        <v>75.0</v>
      </c>
      <c r="D166" s="156">
        <v>5.07918552036199</v>
      </c>
    </row>
    <row r="167" ht="15.75" customHeight="1">
      <c r="A167" s="156">
        <v>1998.0</v>
      </c>
      <c r="B167" s="156" t="s">
        <v>134</v>
      </c>
      <c r="C167" s="156">
        <v>80.0</v>
      </c>
      <c r="D167" s="156">
        <v>4.06334841628959</v>
      </c>
    </row>
    <row r="168" ht="15.75" customHeight="1">
      <c r="A168" s="156">
        <v>1998.0</v>
      </c>
      <c r="B168" s="156" t="s">
        <v>134</v>
      </c>
      <c r="C168" s="156">
        <v>85.0</v>
      </c>
      <c r="D168" s="156">
        <v>4.06334841628959</v>
      </c>
    </row>
    <row r="169" ht="15.75" customHeight="1">
      <c r="A169" s="156">
        <v>1999.0</v>
      </c>
      <c r="B169" s="156" t="s">
        <v>134</v>
      </c>
      <c r="C169" s="156">
        <v>0.0</v>
      </c>
      <c r="D169" s="156">
        <v>0.0</v>
      </c>
    </row>
    <row r="170" ht="15.75" customHeight="1">
      <c r="A170" s="156">
        <v>1999.0</v>
      </c>
      <c r="B170" s="156" t="s">
        <v>134</v>
      </c>
      <c r="C170" s="156">
        <v>1.0</v>
      </c>
      <c r="D170" s="156">
        <v>3.04724409448819</v>
      </c>
    </row>
    <row r="171" ht="15.75" customHeight="1">
      <c r="A171" s="156">
        <v>1999.0</v>
      </c>
      <c r="B171" s="156" t="s">
        <v>134</v>
      </c>
      <c r="C171" s="156">
        <v>5.0</v>
      </c>
      <c r="D171" s="156">
        <v>1.01574803149606</v>
      </c>
    </row>
    <row r="172" ht="15.75" customHeight="1">
      <c r="A172" s="156">
        <v>1999.0</v>
      </c>
      <c r="B172" s="156" t="s">
        <v>134</v>
      </c>
      <c r="C172" s="156">
        <v>10.0</v>
      </c>
      <c r="D172" s="156">
        <v>5.07874015748031</v>
      </c>
    </row>
    <row r="173" ht="15.75" customHeight="1">
      <c r="A173" s="156">
        <v>1999.0</v>
      </c>
      <c r="B173" s="156" t="s">
        <v>134</v>
      </c>
      <c r="C173" s="156">
        <v>15.0</v>
      </c>
      <c r="D173" s="156">
        <v>14.2204724409449</v>
      </c>
    </row>
    <row r="174" ht="15.75" customHeight="1">
      <c r="A174" s="156">
        <v>1999.0</v>
      </c>
      <c r="B174" s="156" t="s">
        <v>134</v>
      </c>
      <c r="C174" s="156">
        <v>20.0</v>
      </c>
      <c r="D174" s="156">
        <v>34.5354330708661</v>
      </c>
    </row>
    <row r="175" ht="15.75" customHeight="1">
      <c r="A175" s="156">
        <v>1999.0</v>
      </c>
      <c r="B175" s="156" t="s">
        <v>134</v>
      </c>
      <c r="C175" s="156">
        <v>25.0</v>
      </c>
      <c r="D175" s="156">
        <v>57.8976377952756</v>
      </c>
    </row>
    <row r="176" ht="15.75" customHeight="1">
      <c r="A176" s="156">
        <v>1999.0</v>
      </c>
      <c r="B176" s="156" t="s">
        <v>134</v>
      </c>
      <c r="C176" s="156">
        <v>30.0</v>
      </c>
      <c r="D176" s="156">
        <v>51.8031496062992</v>
      </c>
    </row>
    <row r="177" ht="15.75" customHeight="1">
      <c r="A177" s="156">
        <v>1999.0</v>
      </c>
      <c r="B177" s="156" t="s">
        <v>134</v>
      </c>
      <c r="C177" s="156">
        <v>35.0</v>
      </c>
      <c r="D177" s="156">
        <v>49.7716535433071</v>
      </c>
    </row>
    <row r="178" ht="15.75" customHeight="1">
      <c r="A178" s="156">
        <v>1999.0</v>
      </c>
      <c r="B178" s="156" t="s">
        <v>134</v>
      </c>
      <c r="C178" s="156">
        <v>40.0</v>
      </c>
      <c r="D178" s="156">
        <v>30.4724409448819</v>
      </c>
    </row>
    <row r="179" ht="15.75" customHeight="1">
      <c r="A179" s="156">
        <v>1999.0</v>
      </c>
      <c r="B179" s="156" t="s">
        <v>134</v>
      </c>
      <c r="C179" s="156">
        <v>45.0</v>
      </c>
      <c r="D179" s="156">
        <v>30.4724409448819</v>
      </c>
    </row>
    <row r="180" ht="15.75" customHeight="1">
      <c r="A180" s="156">
        <v>1999.0</v>
      </c>
      <c r="B180" s="156" t="s">
        <v>134</v>
      </c>
      <c r="C180" s="156">
        <v>50.0</v>
      </c>
      <c r="D180" s="156">
        <v>27.4251968503937</v>
      </c>
    </row>
    <row r="181" ht="15.75" customHeight="1">
      <c r="A181" s="156">
        <v>1999.0</v>
      </c>
      <c r="B181" s="156" t="s">
        <v>134</v>
      </c>
      <c r="C181" s="156">
        <v>55.0</v>
      </c>
      <c r="D181" s="156">
        <v>24.3779527559055</v>
      </c>
    </row>
    <row r="182" ht="15.75" customHeight="1">
      <c r="A182" s="156">
        <v>1999.0</v>
      </c>
      <c r="B182" s="156" t="s">
        <v>134</v>
      </c>
      <c r="C182" s="156">
        <v>60.0</v>
      </c>
      <c r="D182" s="156">
        <v>15.2362204724409</v>
      </c>
    </row>
    <row r="183" ht="15.75" customHeight="1">
      <c r="A183" s="156">
        <v>1999.0</v>
      </c>
      <c r="B183" s="156" t="s">
        <v>134</v>
      </c>
      <c r="C183" s="156">
        <v>65.0</v>
      </c>
      <c r="D183" s="156">
        <v>14.2204724409449</v>
      </c>
    </row>
    <row r="184" ht="15.75" customHeight="1">
      <c r="A184" s="156">
        <v>1999.0</v>
      </c>
      <c r="B184" s="156" t="s">
        <v>134</v>
      </c>
      <c r="C184" s="156">
        <v>70.0</v>
      </c>
      <c r="D184" s="156">
        <v>13.2047244094488</v>
      </c>
    </row>
    <row r="185" ht="15.75" customHeight="1">
      <c r="A185" s="156">
        <v>1999.0</v>
      </c>
      <c r="B185" s="156" t="s">
        <v>134</v>
      </c>
      <c r="C185" s="156">
        <v>75.0</v>
      </c>
      <c r="D185" s="156">
        <v>7.11023622047244</v>
      </c>
    </row>
    <row r="186" ht="15.75" customHeight="1">
      <c r="A186" s="156">
        <v>1999.0</v>
      </c>
      <c r="B186" s="156" t="s">
        <v>134</v>
      </c>
      <c r="C186" s="156">
        <v>80.0</v>
      </c>
      <c r="D186" s="156">
        <v>3.04724409448819</v>
      </c>
    </row>
    <row r="187" ht="15.75" customHeight="1">
      <c r="A187" s="156">
        <v>1999.0</v>
      </c>
      <c r="B187" s="156" t="s">
        <v>134</v>
      </c>
      <c r="C187" s="156">
        <v>85.0</v>
      </c>
      <c r="D187" s="156">
        <v>4.06299212598425</v>
      </c>
    </row>
    <row r="188" ht="15.75" customHeight="1">
      <c r="A188" s="156">
        <v>2000.0</v>
      </c>
      <c r="B188" s="156" t="s">
        <v>134</v>
      </c>
      <c r="C188" s="156">
        <v>0.0</v>
      </c>
      <c r="D188" s="156">
        <v>1.01643835616438</v>
      </c>
    </row>
    <row r="189" ht="15.75" customHeight="1">
      <c r="A189" s="156">
        <v>2000.0</v>
      </c>
      <c r="B189" s="156" t="s">
        <v>134</v>
      </c>
      <c r="C189" s="156">
        <v>1.0</v>
      </c>
      <c r="D189" s="156">
        <v>4.06575342465753</v>
      </c>
    </row>
    <row r="190" ht="15.75" customHeight="1">
      <c r="A190" s="156">
        <v>2000.0</v>
      </c>
      <c r="B190" s="156" t="s">
        <v>134</v>
      </c>
      <c r="C190" s="156">
        <v>5.0</v>
      </c>
      <c r="D190" s="156">
        <v>2.03287671232877</v>
      </c>
    </row>
    <row r="191" ht="15.75" customHeight="1">
      <c r="A191" s="156">
        <v>2000.0</v>
      </c>
      <c r="B191" s="156" t="s">
        <v>134</v>
      </c>
      <c r="C191" s="156">
        <v>10.0</v>
      </c>
      <c r="D191" s="156">
        <v>5.08219178082192</v>
      </c>
    </row>
    <row r="192" ht="15.75" customHeight="1">
      <c r="A192" s="156">
        <v>2000.0</v>
      </c>
      <c r="B192" s="156" t="s">
        <v>134</v>
      </c>
      <c r="C192" s="156">
        <v>15.0</v>
      </c>
      <c r="D192" s="156">
        <v>29.4767123287671</v>
      </c>
    </row>
    <row r="193" ht="15.75" customHeight="1">
      <c r="A193" s="156">
        <v>2000.0</v>
      </c>
      <c r="B193" s="156" t="s">
        <v>134</v>
      </c>
      <c r="C193" s="156">
        <v>20.0</v>
      </c>
      <c r="D193" s="156">
        <v>45.7397260273973</v>
      </c>
    </row>
    <row r="194" ht="15.75" customHeight="1">
      <c r="A194" s="156">
        <v>2000.0</v>
      </c>
      <c r="B194" s="156" t="s">
        <v>134</v>
      </c>
      <c r="C194" s="156">
        <v>25.0</v>
      </c>
      <c r="D194" s="156">
        <v>54.8876712328767</v>
      </c>
    </row>
    <row r="195" ht="15.75" customHeight="1">
      <c r="A195" s="156">
        <v>2000.0</v>
      </c>
      <c r="B195" s="156" t="s">
        <v>134</v>
      </c>
      <c r="C195" s="156">
        <v>30.0</v>
      </c>
      <c r="D195" s="156">
        <v>43.7068493150685</v>
      </c>
    </row>
    <row r="196" ht="15.75" customHeight="1">
      <c r="A196" s="156">
        <v>2000.0</v>
      </c>
      <c r="B196" s="156" t="s">
        <v>134</v>
      </c>
      <c r="C196" s="156">
        <v>35.0</v>
      </c>
      <c r="D196" s="156">
        <v>48.7890410958904</v>
      </c>
    </row>
    <row r="197" ht="15.75" customHeight="1">
      <c r="A197" s="156">
        <v>2000.0</v>
      </c>
      <c r="B197" s="156" t="s">
        <v>134</v>
      </c>
      <c r="C197" s="156">
        <v>40.0</v>
      </c>
      <c r="D197" s="156">
        <v>23.3780821917808</v>
      </c>
    </row>
    <row r="198" ht="15.75" customHeight="1">
      <c r="A198" s="156">
        <v>2000.0</v>
      </c>
      <c r="B198" s="156" t="s">
        <v>134</v>
      </c>
      <c r="C198" s="156">
        <v>45.0</v>
      </c>
      <c r="D198" s="156">
        <v>28.4602739726027</v>
      </c>
    </row>
    <row r="199" ht="15.75" customHeight="1">
      <c r="A199" s="156">
        <v>2000.0</v>
      </c>
      <c r="B199" s="156" t="s">
        <v>134</v>
      </c>
      <c r="C199" s="156">
        <v>50.0</v>
      </c>
      <c r="D199" s="156">
        <v>27.4438356164384</v>
      </c>
    </row>
    <row r="200" ht="15.75" customHeight="1">
      <c r="A200" s="156">
        <v>2000.0</v>
      </c>
      <c r="B200" s="156" t="s">
        <v>134</v>
      </c>
      <c r="C200" s="156">
        <v>55.0</v>
      </c>
      <c r="D200" s="156">
        <v>32.5260273972603</v>
      </c>
    </row>
    <row r="201" ht="15.75" customHeight="1">
      <c r="A201" s="156">
        <v>2000.0</v>
      </c>
      <c r="B201" s="156" t="s">
        <v>134</v>
      </c>
      <c r="C201" s="156">
        <v>60.0</v>
      </c>
      <c r="D201" s="156">
        <v>8.13150684931507</v>
      </c>
    </row>
    <row r="202" ht="15.75" customHeight="1">
      <c r="A202" s="156">
        <v>2000.0</v>
      </c>
      <c r="B202" s="156" t="s">
        <v>134</v>
      </c>
      <c r="C202" s="156">
        <v>65.0</v>
      </c>
      <c r="D202" s="156">
        <v>6.0986301369863</v>
      </c>
    </row>
    <row r="203" ht="15.75" customHeight="1">
      <c r="A203" s="156">
        <v>2000.0</v>
      </c>
      <c r="B203" s="156" t="s">
        <v>134</v>
      </c>
      <c r="C203" s="156">
        <v>70.0</v>
      </c>
      <c r="D203" s="156">
        <v>6.0986301369863</v>
      </c>
    </row>
    <row r="204" ht="15.75" customHeight="1">
      <c r="A204" s="156">
        <v>2000.0</v>
      </c>
      <c r="B204" s="156" t="s">
        <v>134</v>
      </c>
      <c r="C204" s="156">
        <v>75.0</v>
      </c>
      <c r="D204" s="156">
        <v>2.03287671232877</v>
      </c>
    </row>
    <row r="205" ht="15.75" customHeight="1">
      <c r="A205" s="156">
        <v>2000.0</v>
      </c>
      <c r="B205" s="156" t="s">
        <v>134</v>
      </c>
      <c r="C205" s="156">
        <v>80.0</v>
      </c>
      <c r="D205" s="156">
        <v>2.03287671232877</v>
      </c>
    </row>
    <row r="206" ht="15.75" customHeight="1">
      <c r="A206" s="156">
        <v>2001.0</v>
      </c>
      <c r="B206" s="156" t="s">
        <v>134</v>
      </c>
      <c r="C206" s="156">
        <v>1.0</v>
      </c>
      <c r="D206" s="156">
        <v>1.01506024096386</v>
      </c>
    </row>
    <row r="207" ht="15.75" customHeight="1">
      <c r="A207" s="156">
        <v>2001.0</v>
      </c>
      <c r="B207" s="156" t="s">
        <v>134</v>
      </c>
      <c r="C207" s="156">
        <v>5.0</v>
      </c>
      <c r="D207" s="156">
        <v>1.01506024096386</v>
      </c>
    </row>
    <row r="208" ht="15.75" customHeight="1">
      <c r="A208" s="156">
        <v>2001.0</v>
      </c>
      <c r="B208" s="156" t="s">
        <v>134</v>
      </c>
      <c r="C208" s="156">
        <v>10.0</v>
      </c>
      <c r="D208" s="156">
        <v>5.07530120481928</v>
      </c>
    </row>
    <row r="209" ht="15.75" customHeight="1">
      <c r="A209" s="156">
        <v>2001.0</v>
      </c>
      <c r="B209" s="156" t="s">
        <v>134</v>
      </c>
      <c r="C209" s="156">
        <v>15.0</v>
      </c>
      <c r="D209" s="156">
        <v>28.421686746988</v>
      </c>
    </row>
    <row r="210" ht="15.75" customHeight="1">
      <c r="A210" s="156">
        <v>2001.0</v>
      </c>
      <c r="B210" s="156" t="s">
        <v>134</v>
      </c>
      <c r="C210" s="156">
        <v>20.0</v>
      </c>
      <c r="D210" s="156">
        <v>43.6475903614458</v>
      </c>
    </row>
    <row r="211" ht="15.75" customHeight="1">
      <c r="A211" s="156">
        <v>2001.0</v>
      </c>
      <c r="B211" s="156" t="s">
        <v>134</v>
      </c>
      <c r="C211" s="156">
        <v>25.0</v>
      </c>
      <c r="D211" s="156">
        <v>34.5120481927711</v>
      </c>
    </row>
    <row r="212" ht="15.75" customHeight="1">
      <c r="A212" s="156">
        <v>2001.0</v>
      </c>
      <c r="B212" s="156" t="s">
        <v>134</v>
      </c>
      <c r="C212" s="156">
        <v>30.0</v>
      </c>
      <c r="D212" s="156">
        <v>44.6626506024096</v>
      </c>
    </row>
    <row r="213" ht="15.75" customHeight="1">
      <c r="A213" s="156">
        <v>2001.0</v>
      </c>
      <c r="B213" s="156" t="s">
        <v>134</v>
      </c>
      <c r="C213" s="156">
        <v>35.0</v>
      </c>
      <c r="D213" s="156">
        <v>43.6475903614458</v>
      </c>
    </row>
    <row r="214" ht="15.75" customHeight="1">
      <c r="A214" s="156">
        <v>2001.0</v>
      </c>
      <c r="B214" s="156" t="s">
        <v>134</v>
      </c>
      <c r="C214" s="156">
        <v>40.0</v>
      </c>
      <c r="D214" s="156">
        <v>31.4668674698795</v>
      </c>
    </row>
    <row r="215" ht="15.75" customHeight="1">
      <c r="A215" s="156">
        <v>2001.0</v>
      </c>
      <c r="B215" s="156" t="s">
        <v>134</v>
      </c>
      <c r="C215" s="156">
        <v>45.0</v>
      </c>
      <c r="D215" s="156">
        <v>32.4819277108434</v>
      </c>
    </row>
    <row r="216" ht="15.75" customHeight="1">
      <c r="A216" s="156">
        <v>2001.0</v>
      </c>
      <c r="B216" s="156" t="s">
        <v>134</v>
      </c>
      <c r="C216" s="156">
        <v>50.0</v>
      </c>
      <c r="D216" s="156">
        <v>19.2861445783133</v>
      </c>
    </row>
    <row r="217" ht="15.75" customHeight="1">
      <c r="A217" s="156">
        <v>2001.0</v>
      </c>
      <c r="B217" s="156" t="s">
        <v>134</v>
      </c>
      <c r="C217" s="156">
        <v>55.0</v>
      </c>
      <c r="D217" s="156">
        <v>16.2409638554217</v>
      </c>
    </row>
    <row r="218" ht="15.75" customHeight="1">
      <c r="A218" s="156">
        <v>2001.0</v>
      </c>
      <c r="B218" s="156" t="s">
        <v>134</v>
      </c>
      <c r="C218" s="156">
        <v>60.0</v>
      </c>
      <c r="D218" s="156">
        <v>14.210843373494</v>
      </c>
    </row>
    <row r="219" ht="15.75" customHeight="1">
      <c r="A219" s="156">
        <v>2001.0</v>
      </c>
      <c r="B219" s="156" t="s">
        <v>134</v>
      </c>
      <c r="C219" s="156">
        <v>65.0</v>
      </c>
      <c r="D219" s="156">
        <v>11.1656626506024</v>
      </c>
    </row>
    <row r="220" ht="15.75" customHeight="1">
      <c r="A220" s="156">
        <v>2001.0</v>
      </c>
      <c r="B220" s="156" t="s">
        <v>134</v>
      </c>
      <c r="C220" s="156">
        <v>70.0</v>
      </c>
      <c r="D220" s="156">
        <v>6.09036144578313</v>
      </c>
    </row>
    <row r="221" ht="15.75" customHeight="1">
      <c r="A221" s="156">
        <v>2001.0</v>
      </c>
      <c r="B221" s="156" t="s">
        <v>134</v>
      </c>
      <c r="C221" s="156">
        <v>75.0</v>
      </c>
      <c r="D221" s="156">
        <v>2.03012048192771</v>
      </c>
    </row>
    <row r="222" ht="15.75" customHeight="1">
      <c r="A222" s="156">
        <v>2001.0</v>
      </c>
      <c r="B222" s="156" t="s">
        <v>134</v>
      </c>
      <c r="C222" s="156">
        <v>80.0</v>
      </c>
      <c r="D222" s="156">
        <v>1.01506024096386</v>
      </c>
    </row>
    <row r="223" ht="15.75" customHeight="1">
      <c r="A223" s="156">
        <v>2001.0</v>
      </c>
      <c r="B223" s="156" t="s">
        <v>134</v>
      </c>
      <c r="C223" s="156">
        <v>85.0</v>
      </c>
      <c r="D223" s="156">
        <v>1.01506024096386</v>
      </c>
    </row>
    <row r="224" ht="15.75" customHeight="1">
      <c r="A224" s="156">
        <v>2002.0</v>
      </c>
      <c r="B224" s="156" t="s">
        <v>134</v>
      </c>
      <c r="C224" s="156">
        <v>0.0</v>
      </c>
      <c r="D224" s="156">
        <v>1.034375</v>
      </c>
    </row>
    <row r="225" ht="15.75" customHeight="1">
      <c r="A225" s="156">
        <v>2002.0</v>
      </c>
      <c r="B225" s="156" t="s">
        <v>134</v>
      </c>
      <c r="C225" s="156">
        <v>1.0</v>
      </c>
      <c r="D225" s="156">
        <v>2.06875</v>
      </c>
    </row>
    <row r="226" ht="15.75" customHeight="1">
      <c r="A226" s="156">
        <v>2002.0</v>
      </c>
      <c r="B226" s="156" t="s">
        <v>134</v>
      </c>
      <c r="C226" s="156">
        <v>5.0</v>
      </c>
      <c r="D226" s="156">
        <v>2.06875</v>
      </c>
    </row>
    <row r="227" ht="15.75" customHeight="1">
      <c r="A227" s="156">
        <v>2002.0</v>
      </c>
      <c r="B227" s="156" t="s">
        <v>134</v>
      </c>
      <c r="C227" s="156">
        <v>10.0</v>
      </c>
      <c r="D227" s="156">
        <v>0.0</v>
      </c>
    </row>
    <row r="228" ht="15.75" customHeight="1">
      <c r="A228" s="156">
        <v>2002.0</v>
      </c>
      <c r="B228" s="156" t="s">
        <v>134</v>
      </c>
      <c r="C228" s="156">
        <v>15.0</v>
      </c>
      <c r="D228" s="156">
        <v>21.721875</v>
      </c>
    </row>
    <row r="229" ht="15.75" customHeight="1">
      <c r="A229" s="156">
        <v>2002.0</v>
      </c>
      <c r="B229" s="156" t="s">
        <v>134</v>
      </c>
      <c r="C229" s="156">
        <v>20.0</v>
      </c>
      <c r="D229" s="156">
        <v>27.928125</v>
      </c>
    </row>
    <row r="230" ht="15.75" customHeight="1">
      <c r="A230" s="156">
        <v>2002.0</v>
      </c>
      <c r="B230" s="156" t="s">
        <v>134</v>
      </c>
      <c r="C230" s="156">
        <v>25.0</v>
      </c>
      <c r="D230" s="156">
        <v>35.16875</v>
      </c>
    </row>
    <row r="231" ht="15.75" customHeight="1">
      <c r="A231" s="156">
        <v>2002.0</v>
      </c>
      <c r="B231" s="156" t="s">
        <v>134</v>
      </c>
      <c r="C231" s="156">
        <v>30.0</v>
      </c>
      <c r="D231" s="156">
        <v>39.30625</v>
      </c>
    </row>
    <row r="232" ht="15.75" customHeight="1">
      <c r="A232" s="156">
        <v>2002.0</v>
      </c>
      <c r="B232" s="156" t="s">
        <v>134</v>
      </c>
      <c r="C232" s="156">
        <v>35.0</v>
      </c>
      <c r="D232" s="156">
        <v>36.203125</v>
      </c>
    </row>
    <row r="233" ht="15.75" customHeight="1">
      <c r="A233" s="156">
        <v>2002.0</v>
      </c>
      <c r="B233" s="156" t="s">
        <v>134</v>
      </c>
      <c r="C233" s="156">
        <v>40.0</v>
      </c>
      <c r="D233" s="156">
        <v>36.203125</v>
      </c>
    </row>
    <row r="234" ht="15.75" customHeight="1">
      <c r="A234" s="156">
        <v>2002.0</v>
      </c>
      <c r="B234" s="156" t="s">
        <v>134</v>
      </c>
      <c r="C234" s="156">
        <v>45.0</v>
      </c>
      <c r="D234" s="156">
        <v>23.790625</v>
      </c>
    </row>
    <row r="235" ht="15.75" customHeight="1">
      <c r="A235" s="156">
        <v>2002.0</v>
      </c>
      <c r="B235" s="156" t="s">
        <v>134</v>
      </c>
      <c r="C235" s="156">
        <v>50.0</v>
      </c>
      <c r="D235" s="156">
        <v>14.48125</v>
      </c>
    </row>
    <row r="236" ht="15.75" customHeight="1">
      <c r="A236" s="156">
        <v>2002.0</v>
      </c>
      <c r="B236" s="156" t="s">
        <v>134</v>
      </c>
      <c r="C236" s="156">
        <v>55.0</v>
      </c>
      <c r="D236" s="156">
        <v>20.6875</v>
      </c>
    </row>
    <row r="237" ht="15.75" customHeight="1">
      <c r="A237" s="156">
        <v>2002.0</v>
      </c>
      <c r="B237" s="156" t="s">
        <v>134</v>
      </c>
      <c r="C237" s="156">
        <v>60.0</v>
      </c>
      <c r="D237" s="156">
        <v>9.309375</v>
      </c>
    </row>
    <row r="238" ht="15.75" customHeight="1">
      <c r="A238" s="156">
        <v>2002.0</v>
      </c>
      <c r="B238" s="156" t="s">
        <v>134</v>
      </c>
      <c r="C238" s="156">
        <v>65.0</v>
      </c>
      <c r="D238" s="156">
        <v>12.4125</v>
      </c>
    </row>
    <row r="239" ht="15.75" customHeight="1">
      <c r="A239" s="156">
        <v>2002.0</v>
      </c>
      <c r="B239" s="156" t="s">
        <v>134</v>
      </c>
      <c r="C239" s="156">
        <v>70.0</v>
      </c>
      <c r="D239" s="156">
        <v>4.1375</v>
      </c>
    </row>
    <row r="240" ht="15.75" customHeight="1">
      <c r="A240" s="156">
        <v>2002.0</v>
      </c>
      <c r="B240" s="156" t="s">
        <v>134</v>
      </c>
      <c r="C240" s="156">
        <v>75.0</v>
      </c>
      <c r="D240" s="156">
        <v>3.103125</v>
      </c>
    </row>
    <row r="241" ht="15.75" customHeight="1">
      <c r="A241" s="156">
        <v>2002.0</v>
      </c>
      <c r="B241" s="156" t="s">
        <v>134</v>
      </c>
      <c r="C241" s="156">
        <v>80.0</v>
      </c>
      <c r="D241" s="156">
        <v>5.171875</v>
      </c>
    </row>
    <row r="242" ht="15.75" customHeight="1">
      <c r="A242" s="156">
        <v>2002.0</v>
      </c>
      <c r="B242" s="156" t="s">
        <v>134</v>
      </c>
      <c r="C242" s="156">
        <v>85.0</v>
      </c>
      <c r="D242" s="156">
        <v>3.103125</v>
      </c>
    </row>
    <row r="243" ht="15.75" customHeight="1">
      <c r="A243" s="156">
        <v>2003.0</v>
      </c>
      <c r="B243" s="156" t="s">
        <v>134</v>
      </c>
      <c r="C243" s="156">
        <v>0.0</v>
      </c>
      <c r="D243" s="156">
        <v>0.0</v>
      </c>
    </row>
    <row r="244" ht="15.75" customHeight="1">
      <c r="A244" s="156">
        <v>2003.0</v>
      </c>
      <c r="B244" s="156" t="s">
        <v>134</v>
      </c>
      <c r="C244" s="156">
        <v>1.0</v>
      </c>
      <c r="D244" s="156">
        <v>0.0</v>
      </c>
    </row>
    <row r="245" ht="15.75" customHeight="1">
      <c r="A245" s="156">
        <v>2003.0</v>
      </c>
      <c r="B245" s="156" t="s">
        <v>134</v>
      </c>
      <c r="C245" s="156">
        <v>10.0</v>
      </c>
      <c r="D245" s="156">
        <v>7.12280701754386</v>
      </c>
    </row>
    <row r="246" ht="15.75" customHeight="1">
      <c r="A246" s="156">
        <v>2003.0</v>
      </c>
      <c r="B246" s="156" t="s">
        <v>134</v>
      </c>
      <c r="C246" s="156">
        <v>15.0</v>
      </c>
      <c r="D246" s="156">
        <v>17.2982456140351</v>
      </c>
    </row>
    <row r="247" ht="15.75" customHeight="1">
      <c r="A247" s="156">
        <v>2003.0</v>
      </c>
      <c r="B247" s="156" t="s">
        <v>134</v>
      </c>
      <c r="C247" s="156">
        <v>20.0</v>
      </c>
      <c r="D247" s="156">
        <v>37.6491228070175</v>
      </c>
    </row>
    <row r="248" ht="15.75" customHeight="1">
      <c r="A248" s="156">
        <v>2003.0</v>
      </c>
      <c r="B248" s="156" t="s">
        <v>134</v>
      </c>
      <c r="C248" s="156">
        <v>25.0</v>
      </c>
      <c r="D248" s="156">
        <v>42.7368421052632</v>
      </c>
    </row>
    <row r="249" ht="15.75" customHeight="1">
      <c r="A249" s="156">
        <v>2003.0</v>
      </c>
      <c r="B249" s="156" t="s">
        <v>134</v>
      </c>
      <c r="C249" s="156">
        <v>30.0</v>
      </c>
      <c r="D249" s="156">
        <v>43.7543859649123</v>
      </c>
    </row>
    <row r="250" ht="15.75" customHeight="1">
      <c r="A250" s="156">
        <v>2003.0</v>
      </c>
      <c r="B250" s="156" t="s">
        <v>134</v>
      </c>
      <c r="C250" s="156">
        <v>35.0</v>
      </c>
      <c r="D250" s="156">
        <v>40.7017543859649</v>
      </c>
    </row>
    <row r="251" ht="15.75" customHeight="1">
      <c r="A251" s="156">
        <v>2003.0</v>
      </c>
      <c r="B251" s="156" t="s">
        <v>134</v>
      </c>
      <c r="C251" s="156">
        <v>40.0</v>
      </c>
      <c r="D251" s="156">
        <v>36.6315789473684</v>
      </c>
    </row>
    <row r="252" ht="15.75" customHeight="1">
      <c r="A252" s="156">
        <v>2003.0</v>
      </c>
      <c r="B252" s="156" t="s">
        <v>134</v>
      </c>
      <c r="C252" s="156">
        <v>45.0</v>
      </c>
      <c r="D252" s="156">
        <v>42.7368421052632</v>
      </c>
    </row>
    <row r="253" ht="15.75" customHeight="1">
      <c r="A253" s="156">
        <v>2003.0</v>
      </c>
      <c r="B253" s="156" t="s">
        <v>134</v>
      </c>
      <c r="C253" s="156">
        <v>50.0</v>
      </c>
      <c r="D253" s="156">
        <v>21.3684210526316</v>
      </c>
    </row>
    <row r="254" ht="15.75" customHeight="1">
      <c r="A254" s="156">
        <v>2003.0</v>
      </c>
      <c r="B254" s="156" t="s">
        <v>134</v>
      </c>
      <c r="C254" s="156">
        <v>55.0</v>
      </c>
      <c r="D254" s="156">
        <v>19.3333333333333</v>
      </c>
    </row>
    <row r="255" ht="15.75" customHeight="1">
      <c r="A255" s="156">
        <v>2003.0</v>
      </c>
      <c r="B255" s="156" t="s">
        <v>134</v>
      </c>
      <c r="C255" s="156">
        <v>60.0</v>
      </c>
      <c r="D255" s="156">
        <v>15.2631578947368</v>
      </c>
    </row>
    <row r="256" ht="15.75" customHeight="1">
      <c r="A256" s="156">
        <v>2003.0</v>
      </c>
      <c r="B256" s="156" t="s">
        <v>134</v>
      </c>
      <c r="C256" s="156">
        <v>65.0</v>
      </c>
      <c r="D256" s="156">
        <v>9.1578947368421</v>
      </c>
    </row>
    <row r="257" ht="15.75" customHeight="1">
      <c r="A257" s="156">
        <v>2003.0</v>
      </c>
      <c r="B257" s="156" t="s">
        <v>134</v>
      </c>
      <c r="C257" s="156">
        <v>70.0</v>
      </c>
      <c r="D257" s="156">
        <v>6.10526315789474</v>
      </c>
    </row>
    <row r="258" ht="15.75" customHeight="1">
      <c r="A258" s="156">
        <v>2003.0</v>
      </c>
      <c r="B258" s="156" t="s">
        <v>134</v>
      </c>
      <c r="C258" s="156">
        <v>75.0</v>
      </c>
      <c r="D258" s="156">
        <v>4.07017543859649</v>
      </c>
    </row>
    <row r="259" ht="15.75" customHeight="1">
      <c r="A259" s="156">
        <v>2003.0</v>
      </c>
      <c r="B259" s="156" t="s">
        <v>134</v>
      </c>
      <c r="C259" s="156">
        <v>80.0</v>
      </c>
      <c r="D259" s="156">
        <v>4.07017543859649</v>
      </c>
    </row>
    <row r="260" ht="15.75" customHeight="1">
      <c r="A260" s="156">
        <v>2003.0</v>
      </c>
      <c r="B260" s="156" t="s">
        <v>134</v>
      </c>
      <c r="C260" s="156">
        <v>85.0</v>
      </c>
      <c r="D260" s="156">
        <v>0.0</v>
      </c>
    </row>
    <row r="261" ht="15.75" customHeight="1">
      <c r="A261" s="156">
        <v>2004.0</v>
      </c>
      <c r="B261" s="156" t="s">
        <v>134</v>
      </c>
      <c r="C261" s="156">
        <v>0.0</v>
      </c>
      <c r="D261" s="156">
        <v>2.04081632653061</v>
      </c>
    </row>
    <row r="262" ht="15.75" customHeight="1">
      <c r="A262" s="156">
        <v>2004.0</v>
      </c>
      <c r="B262" s="156" t="s">
        <v>134</v>
      </c>
      <c r="C262" s="156">
        <v>5.0</v>
      </c>
      <c r="D262" s="156">
        <v>2.04081632653061</v>
      </c>
    </row>
    <row r="263" ht="15.75" customHeight="1">
      <c r="A263" s="156">
        <v>2004.0</v>
      </c>
      <c r="B263" s="156" t="s">
        <v>134</v>
      </c>
      <c r="C263" s="156">
        <v>10.0</v>
      </c>
      <c r="D263" s="156">
        <v>2.04081632653061</v>
      </c>
    </row>
    <row r="264" ht="15.75" customHeight="1">
      <c r="A264" s="156">
        <v>2004.0</v>
      </c>
      <c r="B264" s="156" t="s">
        <v>134</v>
      </c>
      <c r="C264" s="156">
        <v>15.0</v>
      </c>
      <c r="D264" s="156">
        <v>14.2857142857143</v>
      </c>
    </row>
    <row r="265" ht="15.75" customHeight="1">
      <c r="A265" s="156">
        <v>2004.0</v>
      </c>
      <c r="B265" s="156" t="s">
        <v>134</v>
      </c>
      <c r="C265" s="156">
        <v>20.0</v>
      </c>
      <c r="D265" s="156">
        <v>32.6530612244898</v>
      </c>
    </row>
    <row r="266" ht="15.75" customHeight="1">
      <c r="A266" s="156">
        <v>2004.0</v>
      </c>
      <c r="B266" s="156" t="s">
        <v>134</v>
      </c>
      <c r="C266" s="156">
        <v>25.0</v>
      </c>
      <c r="D266" s="156">
        <v>34.6938775510204</v>
      </c>
    </row>
    <row r="267" ht="15.75" customHeight="1">
      <c r="A267" s="156">
        <v>2004.0</v>
      </c>
      <c r="B267" s="156" t="s">
        <v>134</v>
      </c>
      <c r="C267" s="156">
        <v>30.0</v>
      </c>
      <c r="D267" s="156">
        <v>41.8367346938776</v>
      </c>
    </row>
    <row r="268" ht="15.75" customHeight="1">
      <c r="A268" s="156">
        <v>2004.0</v>
      </c>
      <c r="B268" s="156" t="s">
        <v>134</v>
      </c>
      <c r="C268" s="156">
        <v>35.0</v>
      </c>
      <c r="D268" s="156">
        <v>44.8979591836735</v>
      </c>
    </row>
    <row r="269" ht="15.75" customHeight="1">
      <c r="A269" s="156">
        <v>2004.0</v>
      </c>
      <c r="B269" s="156" t="s">
        <v>134</v>
      </c>
      <c r="C269" s="156">
        <v>40.0</v>
      </c>
      <c r="D269" s="156">
        <v>34.6938775510204</v>
      </c>
    </row>
    <row r="270" ht="15.75" customHeight="1">
      <c r="A270" s="156">
        <v>2004.0</v>
      </c>
      <c r="B270" s="156" t="s">
        <v>134</v>
      </c>
      <c r="C270" s="156">
        <v>45.0</v>
      </c>
      <c r="D270" s="156">
        <v>16.3265306122449</v>
      </c>
    </row>
    <row r="271" ht="15.75" customHeight="1">
      <c r="A271" s="156">
        <v>2004.0</v>
      </c>
      <c r="B271" s="156" t="s">
        <v>134</v>
      </c>
      <c r="C271" s="156">
        <v>50.0</v>
      </c>
      <c r="D271" s="156">
        <v>15.3061224489796</v>
      </c>
    </row>
    <row r="272" ht="15.75" customHeight="1">
      <c r="A272" s="156">
        <v>2004.0</v>
      </c>
      <c r="B272" s="156" t="s">
        <v>134</v>
      </c>
      <c r="C272" s="156">
        <v>55.0</v>
      </c>
      <c r="D272" s="156">
        <v>23.469387755102</v>
      </c>
    </row>
    <row r="273" ht="15.75" customHeight="1">
      <c r="A273" s="156">
        <v>2004.0</v>
      </c>
      <c r="B273" s="156" t="s">
        <v>134</v>
      </c>
      <c r="C273" s="156">
        <v>60.0</v>
      </c>
      <c r="D273" s="156">
        <v>16.3265306122449</v>
      </c>
    </row>
    <row r="274" ht="15.75" customHeight="1">
      <c r="A274" s="156">
        <v>2004.0</v>
      </c>
      <c r="B274" s="156" t="s">
        <v>134</v>
      </c>
      <c r="C274" s="156">
        <v>65.0</v>
      </c>
      <c r="D274" s="156">
        <v>4.08163265306122</v>
      </c>
    </row>
    <row r="275" ht="15.75" customHeight="1">
      <c r="A275" s="156">
        <v>2004.0</v>
      </c>
      <c r="B275" s="156" t="s">
        <v>134</v>
      </c>
      <c r="C275" s="156">
        <v>70.0</v>
      </c>
      <c r="D275" s="156">
        <v>5.10204081632653</v>
      </c>
    </row>
    <row r="276" ht="15.75" customHeight="1">
      <c r="A276" s="156">
        <v>2004.0</v>
      </c>
      <c r="B276" s="156" t="s">
        <v>134</v>
      </c>
      <c r="C276" s="156">
        <v>75.0</v>
      </c>
      <c r="D276" s="156">
        <v>6.12244897959184</v>
      </c>
    </row>
    <row r="277" ht="15.75" customHeight="1">
      <c r="A277" s="156">
        <v>2004.0</v>
      </c>
      <c r="B277" s="156" t="s">
        <v>134</v>
      </c>
      <c r="C277" s="156">
        <v>80.0</v>
      </c>
      <c r="D277" s="156">
        <v>3.06122448979592</v>
      </c>
    </row>
    <row r="278" ht="15.75" customHeight="1">
      <c r="A278" s="156">
        <v>2004.0</v>
      </c>
      <c r="B278" s="156" t="s">
        <v>134</v>
      </c>
      <c r="C278" s="156">
        <v>85.0</v>
      </c>
      <c r="D278" s="156">
        <v>1.02040816326531</v>
      </c>
    </row>
    <row r="279" ht="15.75" customHeight="1">
      <c r="A279" s="156">
        <v>2005.0</v>
      </c>
      <c r="B279" s="156" t="s">
        <v>134</v>
      </c>
      <c r="C279" s="156">
        <v>1.0</v>
      </c>
      <c r="D279" s="156">
        <v>5.1027397260274</v>
      </c>
    </row>
    <row r="280" ht="15.75" customHeight="1">
      <c r="A280" s="156">
        <v>2005.0</v>
      </c>
      <c r="B280" s="156" t="s">
        <v>134</v>
      </c>
      <c r="C280" s="156">
        <v>5.0</v>
      </c>
      <c r="D280" s="156">
        <v>2.04109589041096</v>
      </c>
    </row>
    <row r="281" ht="15.75" customHeight="1">
      <c r="A281" s="156">
        <v>2005.0</v>
      </c>
      <c r="B281" s="156" t="s">
        <v>134</v>
      </c>
      <c r="C281" s="156">
        <v>10.0</v>
      </c>
      <c r="D281" s="156">
        <v>5.1027397260274</v>
      </c>
    </row>
    <row r="282" ht="15.75" customHeight="1">
      <c r="A282" s="156">
        <v>2005.0</v>
      </c>
      <c r="B282" s="156" t="s">
        <v>134</v>
      </c>
      <c r="C282" s="156">
        <v>15.0</v>
      </c>
      <c r="D282" s="156">
        <v>15.3082191780822</v>
      </c>
    </row>
    <row r="283" ht="15.75" customHeight="1">
      <c r="A283" s="156">
        <v>2005.0</v>
      </c>
      <c r="B283" s="156" t="s">
        <v>134</v>
      </c>
      <c r="C283" s="156">
        <v>20.0</v>
      </c>
      <c r="D283" s="156">
        <v>36.7397260273973</v>
      </c>
    </row>
    <row r="284" ht="15.75" customHeight="1">
      <c r="A284" s="156">
        <v>2005.0</v>
      </c>
      <c r="B284" s="156" t="s">
        <v>134</v>
      </c>
      <c r="C284" s="156">
        <v>25.0</v>
      </c>
      <c r="D284" s="156">
        <v>32.6575342465753</v>
      </c>
    </row>
    <row r="285" ht="15.75" customHeight="1">
      <c r="A285" s="156">
        <v>2005.0</v>
      </c>
      <c r="B285" s="156" t="s">
        <v>134</v>
      </c>
      <c r="C285" s="156">
        <v>30.0</v>
      </c>
      <c r="D285" s="156">
        <v>37.7602739726027</v>
      </c>
    </row>
    <row r="286" ht="15.75" customHeight="1">
      <c r="A286" s="156">
        <v>2005.0</v>
      </c>
      <c r="B286" s="156" t="s">
        <v>134</v>
      </c>
      <c r="C286" s="156">
        <v>35.0</v>
      </c>
      <c r="D286" s="156">
        <v>24.4931506849315</v>
      </c>
    </row>
    <row r="287" ht="15.75" customHeight="1">
      <c r="A287" s="156">
        <v>2005.0</v>
      </c>
      <c r="B287" s="156" t="s">
        <v>134</v>
      </c>
      <c r="C287" s="156">
        <v>40.0</v>
      </c>
      <c r="D287" s="156">
        <v>38.7808219178082</v>
      </c>
    </row>
    <row r="288" ht="15.75" customHeight="1">
      <c r="A288" s="156">
        <v>2005.0</v>
      </c>
      <c r="B288" s="156" t="s">
        <v>134</v>
      </c>
      <c r="C288" s="156">
        <v>45.0</v>
      </c>
      <c r="D288" s="156">
        <v>28.5753424657534</v>
      </c>
    </row>
    <row r="289" ht="15.75" customHeight="1">
      <c r="A289" s="156">
        <v>2005.0</v>
      </c>
      <c r="B289" s="156" t="s">
        <v>134</v>
      </c>
      <c r="C289" s="156">
        <v>50.0</v>
      </c>
      <c r="D289" s="156">
        <v>24.4931506849315</v>
      </c>
    </row>
    <row r="290" ht="15.75" customHeight="1">
      <c r="A290" s="156">
        <v>2005.0</v>
      </c>
      <c r="B290" s="156" t="s">
        <v>134</v>
      </c>
      <c r="C290" s="156">
        <v>55.0</v>
      </c>
      <c r="D290" s="156">
        <v>15.3082191780822</v>
      </c>
    </row>
    <row r="291" ht="15.75" customHeight="1">
      <c r="A291" s="156">
        <v>2005.0</v>
      </c>
      <c r="B291" s="156" t="s">
        <v>134</v>
      </c>
      <c r="C291" s="156">
        <v>60.0</v>
      </c>
      <c r="D291" s="156">
        <v>12.2465753424658</v>
      </c>
    </row>
    <row r="292" ht="15.75" customHeight="1">
      <c r="A292" s="156">
        <v>2005.0</v>
      </c>
      <c r="B292" s="156" t="s">
        <v>134</v>
      </c>
      <c r="C292" s="156">
        <v>65.0</v>
      </c>
      <c r="D292" s="156">
        <v>11.2260273972603</v>
      </c>
    </row>
    <row r="293" ht="15.75" customHeight="1">
      <c r="A293" s="156">
        <v>2005.0</v>
      </c>
      <c r="B293" s="156" t="s">
        <v>134</v>
      </c>
      <c r="C293" s="156">
        <v>70.0</v>
      </c>
      <c r="D293" s="156">
        <v>4.08219178082192</v>
      </c>
    </row>
    <row r="294" ht="15.75" customHeight="1">
      <c r="A294" s="156">
        <v>2005.0</v>
      </c>
      <c r="B294" s="156" t="s">
        <v>134</v>
      </c>
      <c r="C294" s="156">
        <v>75.0</v>
      </c>
      <c r="D294" s="156">
        <v>1.02054794520548</v>
      </c>
    </row>
    <row r="295" ht="15.75" customHeight="1">
      <c r="A295" s="156">
        <v>2005.0</v>
      </c>
      <c r="B295" s="156" t="s">
        <v>134</v>
      </c>
      <c r="C295" s="156">
        <v>80.0</v>
      </c>
      <c r="D295" s="156">
        <v>2.04109589041096</v>
      </c>
    </row>
    <row r="296" ht="15.75" customHeight="1">
      <c r="A296" s="156">
        <v>2005.0</v>
      </c>
      <c r="B296" s="156" t="s">
        <v>134</v>
      </c>
      <c r="C296" s="156">
        <v>85.0</v>
      </c>
      <c r="D296" s="156">
        <v>1.02054794520548</v>
      </c>
    </row>
    <row r="297" ht="15.75" customHeight="1">
      <c r="A297" s="156">
        <v>2006.0</v>
      </c>
      <c r="B297" s="156" t="s">
        <v>134</v>
      </c>
      <c r="C297" s="156">
        <v>0.0</v>
      </c>
      <c r="D297" s="156">
        <v>1.03322259136213</v>
      </c>
    </row>
    <row r="298" ht="15.75" customHeight="1">
      <c r="A298" s="156">
        <v>2006.0</v>
      </c>
      <c r="B298" s="156" t="s">
        <v>134</v>
      </c>
      <c r="C298" s="156">
        <v>1.0</v>
      </c>
      <c r="D298" s="156">
        <v>0.0</v>
      </c>
    </row>
    <row r="299" ht="15.75" customHeight="1">
      <c r="A299" s="156">
        <v>2006.0</v>
      </c>
      <c r="B299" s="156" t="s">
        <v>134</v>
      </c>
      <c r="C299" s="156">
        <v>5.0</v>
      </c>
      <c r="D299" s="156">
        <v>2.06644518272425</v>
      </c>
    </row>
    <row r="300" ht="15.75" customHeight="1">
      <c r="A300" s="156">
        <v>2006.0</v>
      </c>
      <c r="B300" s="156" t="s">
        <v>134</v>
      </c>
      <c r="C300" s="156">
        <v>10.0</v>
      </c>
      <c r="D300" s="156">
        <v>2.06644518272425</v>
      </c>
    </row>
    <row r="301" ht="15.75" customHeight="1">
      <c r="A301" s="156">
        <v>2006.0</v>
      </c>
      <c r="B301" s="156" t="s">
        <v>134</v>
      </c>
      <c r="C301" s="156">
        <v>15.0</v>
      </c>
      <c r="D301" s="156">
        <v>11.3654485049834</v>
      </c>
    </row>
    <row r="302" ht="15.75" customHeight="1">
      <c r="A302" s="156">
        <v>2006.0</v>
      </c>
      <c r="B302" s="156" t="s">
        <v>134</v>
      </c>
      <c r="C302" s="156">
        <v>20.0</v>
      </c>
      <c r="D302" s="156">
        <v>24.797342192691</v>
      </c>
    </row>
    <row r="303" ht="15.75" customHeight="1">
      <c r="A303" s="156">
        <v>2006.0</v>
      </c>
      <c r="B303" s="156" t="s">
        <v>134</v>
      </c>
      <c r="C303" s="156">
        <v>25.0</v>
      </c>
      <c r="D303" s="156">
        <v>35.1295681063123</v>
      </c>
    </row>
    <row r="304" ht="15.75" customHeight="1">
      <c r="A304" s="156">
        <v>2006.0</v>
      </c>
      <c r="B304" s="156" t="s">
        <v>134</v>
      </c>
      <c r="C304" s="156">
        <v>30.0</v>
      </c>
      <c r="D304" s="156">
        <v>44.4285714285714</v>
      </c>
    </row>
    <row r="305" ht="15.75" customHeight="1">
      <c r="A305" s="156">
        <v>2006.0</v>
      </c>
      <c r="B305" s="156" t="s">
        <v>134</v>
      </c>
      <c r="C305" s="156">
        <v>35.0</v>
      </c>
      <c r="D305" s="156">
        <v>41.3289036544851</v>
      </c>
    </row>
    <row r="306" ht="15.75" customHeight="1">
      <c r="A306" s="156">
        <v>2006.0</v>
      </c>
      <c r="B306" s="156" t="s">
        <v>134</v>
      </c>
      <c r="C306" s="156">
        <v>40.0</v>
      </c>
      <c r="D306" s="156">
        <v>25.8305647840532</v>
      </c>
    </row>
    <row r="307" ht="15.75" customHeight="1">
      <c r="A307" s="156">
        <v>2006.0</v>
      </c>
      <c r="B307" s="156" t="s">
        <v>134</v>
      </c>
      <c r="C307" s="156">
        <v>45.0</v>
      </c>
      <c r="D307" s="156">
        <v>23.7641196013289</v>
      </c>
    </row>
    <row r="308" ht="15.75" customHeight="1">
      <c r="A308" s="156">
        <v>2006.0</v>
      </c>
      <c r="B308" s="156" t="s">
        <v>134</v>
      </c>
      <c r="C308" s="156">
        <v>50.0</v>
      </c>
      <c r="D308" s="156">
        <v>35.1295681063123</v>
      </c>
    </row>
    <row r="309" ht="15.75" customHeight="1">
      <c r="A309" s="156">
        <v>2006.0</v>
      </c>
      <c r="B309" s="156" t="s">
        <v>134</v>
      </c>
      <c r="C309" s="156">
        <v>55.0</v>
      </c>
      <c r="D309" s="156">
        <v>17.5647840531561</v>
      </c>
    </row>
    <row r="310" ht="15.75" customHeight="1">
      <c r="A310" s="156">
        <v>2006.0</v>
      </c>
      <c r="B310" s="156" t="s">
        <v>134</v>
      </c>
      <c r="C310" s="156">
        <v>60.0</v>
      </c>
      <c r="D310" s="156">
        <v>15.4983388704319</v>
      </c>
    </row>
    <row r="311" ht="15.75" customHeight="1">
      <c r="A311" s="156">
        <v>2006.0</v>
      </c>
      <c r="B311" s="156" t="s">
        <v>134</v>
      </c>
      <c r="C311" s="156">
        <v>65.0</v>
      </c>
      <c r="D311" s="156">
        <v>8.26578073089701</v>
      </c>
    </row>
    <row r="312" ht="15.75" customHeight="1">
      <c r="A312" s="156">
        <v>2006.0</v>
      </c>
      <c r="B312" s="156" t="s">
        <v>134</v>
      </c>
      <c r="C312" s="156">
        <v>70.0</v>
      </c>
      <c r="D312" s="156">
        <v>8.26578073089701</v>
      </c>
    </row>
    <row r="313" ht="15.75" customHeight="1">
      <c r="A313" s="156">
        <v>2006.0</v>
      </c>
      <c r="B313" s="156" t="s">
        <v>134</v>
      </c>
      <c r="C313" s="156">
        <v>75.0</v>
      </c>
      <c r="D313" s="156">
        <v>9.29900332225914</v>
      </c>
    </row>
    <row r="314" ht="15.75" customHeight="1">
      <c r="A314" s="156">
        <v>2006.0</v>
      </c>
      <c r="B314" s="156" t="s">
        <v>134</v>
      </c>
      <c r="C314" s="156">
        <v>80.0</v>
      </c>
      <c r="D314" s="156">
        <v>2.06644518272425</v>
      </c>
    </row>
    <row r="315" ht="15.75" customHeight="1">
      <c r="A315" s="156">
        <v>2006.0</v>
      </c>
      <c r="B315" s="156" t="s">
        <v>134</v>
      </c>
      <c r="C315" s="156">
        <v>85.0</v>
      </c>
      <c r="D315" s="156">
        <v>3.09966777408638</v>
      </c>
    </row>
    <row r="316" ht="15.75" customHeight="1">
      <c r="A316" s="156">
        <v>2007.0</v>
      </c>
      <c r="B316" s="156" t="s">
        <v>134</v>
      </c>
      <c r="C316" s="156">
        <v>0.0</v>
      </c>
      <c r="D316" s="156">
        <v>2.02923976608187</v>
      </c>
    </row>
    <row r="317" ht="15.75" customHeight="1">
      <c r="A317" s="156">
        <v>2007.0</v>
      </c>
      <c r="B317" s="156" t="s">
        <v>134</v>
      </c>
      <c r="C317" s="156">
        <v>1.0</v>
      </c>
      <c r="D317" s="156">
        <v>1.01461988304094</v>
      </c>
    </row>
    <row r="318" ht="15.75" customHeight="1">
      <c r="A318" s="156">
        <v>2007.0</v>
      </c>
      <c r="B318" s="156" t="s">
        <v>134</v>
      </c>
      <c r="C318" s="156">
        <v>10.0</v>
      </c>
      <c r="D318" s="156">
        <v>2.02923976608187</v>
      </c>
    </row>
    <row r="319" ht="15.75" customHeight="1">
      <c r="A319" s="156">
        <v>2007.0</v>
      </c>
      <c r="B319" s="156" t="s">
        <v>134</v>
      </c>
      <c r="C319" s="156">
        <v>15.0</v>
      </c>
      <c r="D319" s="156">
        <v>20.2923976608187</v>
      </c>
    </row>
    <row r="320" ht="15.75" customHeight="1">
      <c r="A320" s="156">
        <v>2007.0</v>
      </c>
      <c r="B320" s="156" t="s">
        <v>134</v>
      </c>
      <c r="C320" s="156">
        <v>20.0</v>
      </c>
      <c r="D320" s="156">
        <v>35.5116959064327</v>
      </c>
    </row>
    <row r="321" ht="15.75" customHeight="1">
      <c r="A321" s="156">
        <v>2007.0</v>
      </c>
      <c r="B321" s="156" t="s">
        <v>134</v>
      </c>
      <c r="C321" s="156">
        <v>25.0</v>
      </c>
      <c r="D321" s="156">
        <v>32.4678362573099</v>
      </c>
    </row>
    <row r="322" ht="15.75" customHeight="1">
      <c r="A322" s="156">
        <v>2007.0</v>
      </c>
      <c r="B322" s="156" t="s">
        <v>134</v>
      </c>
      <c r="C322" s="156">
        <v>30.0</v>
      </c>
      <c r="D322" s="156">
        <v>46.672514619883</v>
      </c>
    </row>
    <row r="323" ht="15.75" customHeight="1">
      <c r="A323" s="156">
        <v>2007.0</v>
      </c>
      <c r="B323" s="156" t="s">
        <v>134</v>
      </c>
      <c r="C323" s="156">
        <v>35.0</v>
      </c>
      <c r="D323" s="156">
        <v>46.672514619883</v>
      </c>
    </row>
    <row r="324" ht="15.75" customHeight="1">
      <c r="A324" s="156">
        <v>2007.0</v>
      </c>
      <c r="B324" s="156" t="s">
        <v>134</v>
      </c>
      <c r="C324" s="156">
        <v>40.0</v>
      </c>
      <c r="D324" s="156">
        <v>30.4385964912281</v>
      </c>
    </row>
    <row r="325" ht="15.75" customHeight="1">
      <c r="A325" s="156">
        <v>2007.0</v>
      </c>
      <c r="B325" s="156" t="s">
        <v>134</v>
      </c>
      <c r="C325" s="156">
        <v>45.0</v>
      </c>
      <c r="D325" s="156">
        <v>32.4678362573099</v>
      </c>
    </row>
    <row r="326" ht="15.75" customHeight="1">
      <c r="A326" s="156">
        <v>2007.0</v>
      </c>
      <c r="B326" s="156" t="s">
        <v>134</v>
      </c>
      <c r="C326" s="156">
        <v>50.0</v>
      </c>
      <c r="D326" s="156">
        <v>28.4093567251462</v>
      </c>
    </row>
    <row r="327" ht="15.75" customHeight="1">
      <c r="A327" s="156">
        <v>2007.0</v>
      </c>
      <c r="B327" s="156" t="s">
        <v>134</v>
      </c>
      <c r="C327" s="156">
        <v>55.0</v>
      </c>
      <c r="D327" s="156">
        <v>29.4239766081871</v>
      </c>
    </row>
    <row r="328" ht="15.75" customHeight="1">
      <c r="A328" s="156">
        <v>2007.0</v>
      </c>
      <c r="B328" s="156" t="s">
        <v>134</v>
      </c>
      <c r="C328" s="156">
        <v>60.0</v>
      </c>
      <c r="D328" s="156">
        <v>14.2046783625731</v>
      </c>
    </row>
    <row r="329" ht="15.75" customHeight="1">
      <c r="A329" s="156">
        <v>2007.0</v>
      </c>
      <c r="B329" s="156" t="s">
        <v>134</v>
      </c>
      <c r="C329" s="156">
        <v>65.0</v>
      </c>
      <c r="D329" s="156">
        <v>13.1900584795322</v>
      </c>
    </row>
    <row r="330" ht="15.75" customHeight="1">
      <c r="A330" s="156">
        <v>2007.0</v>
      </c>
      <c r="B330" s="156" t="s">
        <v>134</v>
      </c>
      <c r="C330" s="156">
        <v>70.0</v>
      </c>
      <c r="D330" s="156">
        <v>5.07309941520468</v>
      </c>
    </row>
    <row r="331" ht="15.75" customHeight="1">
      <c r="A331" s="156">
        <v>2007.0</v>
      </c>
      <c r="B331" s="156" t="s">
        <v>134</v>
      </c>
      <c r="C331" s="156">
        <v>75.0</v>
      </c>
      <c r="D331" s="156">
        <v>3.04385964912281</v>
      </c>
    </row>
    <row r="332" ht="15.75" customHeight="1">
      <c r="A332" s="156">
        <v>2007.0</v>
      </c>
      <c r="B332" s="156" t="s">
        <v>134</v>
      </c>
      <c r="C332" s="156">
        <v>80.0</v>
      </c>
      <c r="D332" s="156">
        <v>2.02923976608187</v>
      </c>
    </row>
    <row r="333" ht="15.75" customHeight="1">
      <c r="A333" s="156">
        <v>2007.0</v>
      </c>
      <c r="B333" s="156" t="s">
        <v>134</v>
      </c>
      <c r="C333" s="156">
        <v>85.0</v>
      </c>
      <c r="D333" s="156">
        <v>2.02923976608187</v>
      </c>
    </row>
    <row r="334" ht="15.75" customHeight="1">
      <c r="A334" s="156">
        <v>2008.0</v>
      </c>
      <c r="B334" s="156" t="s">
        <v>134</v>
      </c>
      <c r="C334" s="156">
        <v>0.0</v>
      </c>
      <c r="D334" s="156">
        <v>2.00711743772242</v>
      </c>
    </row>
    <row r="335" ht="15.75" customHeight="1">
      <c r="A335" s="156">
        <v>2008.0</v>
      </c>
      <c r="B335" s="156" t="s">
        <v>134</v>
      </c>
      <c r="C335" s="156">
        <v>1.0</v>
      </c>
      <c r="D335" s="156">
        <v>0.0</v>
      </c>
    </row>
    <row r="336" ht="15.75" customHeight="1">
      <c r="A336" s="156">
        <v>2008.0</v>
      </c>
      <c r="B336" s="156" t="s">
        <v>134</v>
      </c>
      <c r="C336" s="156">
        <v>5.0</v>
      </c>
      <c r="D336" s="156">
        <v>1.00355871886121</v>
      </c>
    </row>
    <row r="337" ht="15.75" customHeight="1">
      <c r="A337" s="156">
        <v>2008.0</v>
      </c>
      <c r="B337" s="156" t="s">
        <v>134</v>
      </c>
      <c r="C337" s="156">
        <v>10.0</v>
      </c>
      <c r="D337" s="156">
        <v>3.01067615658363</v>
      </c>
    </row>
    <row r="338" ht="15.75" customHeight="1">
      <c r="A338" s="156">
        <v>2008.0</v>
      </c>
      <c r="B338" s="156" t="s">
        <v>134</v>
      </c>
      <c r="C338" s="156">
        <v>15.0</v>
      </c>
      <c r="D338" s="156">
        <v>19.067615658363</v>
      </c>
    </row>
    <row r="339" ht="15.75" customHeight="1">
      <c r="A339" s="156">
        <v>2008.0</v>
      </c>
      <c r="B339" s="156" t="s">
        <v>134</v>
      </c>
      <c r="C339" s="156">
        <v>20.0</v>
      </c>
      <c r="D339" s="156">
        <v>22.0782918149466</v>
      </c>
    </row>
    <row r="340" ht="15.75" customHeight="1">
      <c r="A340" s="156">
        <v>2008.0</v>
      </c>
      <c r="B340" s="156" t="s">
        <v>134</v>
      </c>
      <c r="C340" s="156">
        <v>25.0</v>
      </c>
      <c r="D340" s="156">
        <v>31.1103202846975</v>
      </c>
    </row>
    <row r="341" ht="15.75" customHeight="1">
      <c r="A341" s="156">
        <v>2008.0</v>
      </c>
      <c r="B341" s="156" t="s">
        <v>134</v>
      </c>
      <c r="C341" s="156">
        <v>30.0</v>
      </c>
      <c r="D341" s="156">
        <v>36.1281138790036</v>
      </c>
    </row>
    <row r="342" ht="15.75" customHeight="1">
      <c r="A342" s="156">
        <v>2008.0</v>
      </c>
      <c r="B342" s="156" t="s">
        <v>134</v>
      </c>
      <c r="C342" s="156">
        <v>35.0</v>
      </c>
      <c r="D342" s="156">
        <v>33.1174377224199</v>
      </c>
    </row>
    <row r="343" ht="15.75" customHeight="1">
      <c r="A343" s="156">
        <v>2008.0</v>
      </c>
      <c r="B343" s="156" t="s">
        <v>134</v>
      </c>
      <c r="C343" s="156">
        <v>40.0</v>
      </c>
      <c r="D343" s="156">
        <v>43.153024911032</v>
      </c>
    </row>
    <row r="344" ht="15.75" customHeight="1">
      <c r="A344" s="156">
        <v>2008.0</v>
      </c>
      <c r="B344" s="156" t="s">
        <v>134</v>
      </c>
      <c r="C344" s="156">
        <v>45.0</v>
      </c>
      <c r="D344" s="156">
        <v>23.0818505338078</v>
      </c>
    </row>
    <row r="345" ht="15.75" customHeight="1">
      <c r="A345" s="156">
        <v>2008.0</v>
      </c>
      <c r="B345" s="156" t="s">
        <v>134</v>
      </c>
      <c r="C345" s="156">
        <v>50.0</v>
      </c>
      <c r="D345" s="156">
        <v>17.0604982206406</v>
      </c>
    </row>
    <row r="346" ht="15.75" customHeight="1">
      <c r="A346" s="156">
        <v>2008.0</v>
      </c>
      <c r="B346" s="156" t="s">
        <v>134</v>
      </c>
      <c r="C346" s="156">
        <v>55.0</v>
      </c>
      <c r="D346" s="156">
        <v>15.0533807829181</v>
      </c>
    </row>
    <row r="347" ht="15.75" customHeight="1">
      <c r="A347" s="156">
        <v>2008.0</v>
      </c>
      <c r="B347" s="156" t="s">
        <v>134</v>
      </c>
      <c r="C347" s="156">
        <v>60.0</v>
      </c>
      <c r="D347" s="156">
        <v>14.0498220640569</v>
      </c>
    </row>
    <row r="348" ht="15.75" customHeight="1">
      <c r="A348" s="156">
        <v>2008.0</v>
      </c>
      <c r="B348" s="156" t="s">
        <v>134</v>
      </c>
      <c r="C348" s="156">
        <v>65.0</v>
      </c>
      <c r="D348" s="156">
        <v>7.02491103202847</v>
      </c>
    </row>
    <row r="349" ht="15.75" customHeight="1">
      <c r="A349" s="156">
        <v>2008.0</v>
      </c>
      <c r="B349" s="156" t="s">
        <v>134</v>
      </c>
      <c r="C349" s="156">
        <v>70.0</v>
      </c>
      <c r="D349" s="156">
        <v>9.03202846975089</v>
      </c>
    </row>
    <row r="350" ht="15.75" customHeight="1">
      <c r="A350" s="156">
        <v>2008.0</v>
      </c>
      <c r="B350" s="156" t="s">
        <v>134</v>
      </c>
      <c r="C350" s="156">
        <v>75.0</v>
      </c>
      <c r="D350" s="156">
        <v>3.01067615658363</v>
      </c>
    </row>
    <row r="351" ht="15.75" customHeight="1">
      <c r="A351" s="156">
        <v>2008.0</v>
      </c>
      <c r="B351" s="156" t="s">
        <v>134</v>
      </c>
      <c r="C351" s="156">
        <v>80.0</v>
      </c>
      <c r="D351" s="156">
        <v>2.00711743772242</v>
      </c>
    </row>
    <row r="352" ht="15.75" customHeight="1">
      <c r="A352" s="156">
        <v>2008.0</v>
      </c>
      <c r="B352" s="156" t="s">
        <v>134</v>
      </c>
      <c r="C352" s="156">
        <v>85.0</v>
      </c>
      <c r="D352" s="156">
        <v>1.00355871886121</v>
      </c>
    </row>
    <row r="353" ht="15.75" customHeight="1">
      <c r="A353" s="156">
        <v>2010.0</v>
      </c>
      <c r="B353" s="156" t="s">
        <v>134</v>
      </c>
      <c r="C353" s="156">
        <v>0.0</v>
      </c>
      <c r="D353" s="156">
        <v>2.43626416127157</v>
      </c>
    </row>
    <row r="354" ht="15.75" customHeight="1">
      <c r="A354" s="156">
        <v>2010.0</v>
      </c>
      <c r="B354" s="156" t="s">
        <v>134</v>
      </c>
      <c r="C354" s="156">
        <v>1.0</v>
      </c>
      <c r="D354" s="156">
        <v>2.79988942301504</v>
      </c>
    </row>
    <row r="355" ht="15.75" customHeight="1">
      <c r="A355" s="156">
        <v>2010.0</v>
      </c>
      <c r="B355" s="156" t="s">
        <v>134</v>
      </c>
      <c r="C355" s="156">
        <v>5.0</v>
      </c>
      <c r="D355" s="156">
        <v>1.03434657460279</v>
      </c>
    </row>
    <row r="356" ht="15.75" customHeight="1">
      <c r="A356" s="156">
        <v>2010.0</v>
      </c>
      <c r="B356" s="156" t="s">
        <v>134</v>
      </c>
      <c r="C356" s="156">
        <v>10.0</v>
      </c>
      <c r="D356" s="156">
        <v>5.33343785225013</v>
      </c>
    </row>
    <row r="357" ht="15.75" customHeight="1">
      <c r="A357" s="156">
        <v>2010.0</v>
      </c>
      <c r="B357" s="156" t="s">
        <v>134</v>
      </c>
      <c r="C357" s="156">
        <v>15.0</v>
      </c>
      <c r="D357" s="156">
        <v>56.6635350888201</v>
      </c>
    </row>
    <row r="358" ht="15.75" customHeight="1">
      <c r="A358" s="156">
        <v>2010.0</v>
      </c>
      <c r="B358" s="156" t="s">
        <v>134</v>
      </c>
      <c r="C358" s="156">
        <v>20.0</v>
      </c>
      <c r="D358" s="156">
        <v>83.3938298112359</v>
      </c>
    </row>
    <row r="359" ht="15.75" customHeight="1">
      <c r="A359" s="156">
        <v>2010.0</v>
      </c>
      <c r="B359" s="156" t="s">
        <v>134</v>
      </c>
      <c r="C359" s="156">
        <v>25.0</v>
      </c>
      <c r="D359" s="156">
        <v>88.2894751856526</v>
      </c>
    </row>
    <row r="360" ht="15.75" customHeight="1">
      <c r="A360" s="156">
        <v>2010.0</v>
      </c>
      <c r="B360" s="156" t="s">
        <v>134</v>
      </c>
      <c r="C360" s="156">
        <v>30.0</v>
      </c>
      <c r="D360" s="156">
        <v>86.0038630966907</v>
      </c>
    </row>
    <row r="361" ht="15.75" customHeight="1">
      <c r="A361" s="156">
        <v>2010.0</v>
      </c>
      <c r="B361" s="156" t="s">
        <v>134</v>
      </c>
      <c r="C361" s="156">
        <v>35.0</v>
      </c>
      <c r="D361" s="156">
        <v>71.3875695982784</v>
      </c>
    </row>
    <row r="362" ht="15.75" customHeight="1">
      <c r="A362" s="156">
        <v>2010.0</v>
      </c>
      <c r="B362" s="156" t="s">
        <v>134</v>
      </c>
      <c r="C362" s="156">
        <v>40.0</v>
      </c>
      <c r="D362" s="156">
        <v>60.3392969830419</v>
      </c>
    </row>
    <row r="363" ht="15.75" customHeight="1">
      <c r="A363" s="156">
        <v>2010.0</v>
      </c>
      <c r="B363" s="156" t="s">
        <v>134</v>
      </c>
      <c r="C363" s="156">
        <v>45.0</v>
      </c>
      <c r="D363" s="156">
        <v>42.7589863314697</v>
      </c>
    </row>
    <row r="364" ht="15.75" customHeight="1">
      <c r="A364" s="156">
        <v>2010.0</v>
      </c>
      <c r="B364" s="156" t="s">
        <v>134</v>
      </c>
      <c r="C364" s="156">
        <v>50.0</v>
      </c>
      <c r="D364" s="156">
        <v>35.1793761974862</v>
      </c>
    </row>
    <row r="365" ht="15.75" customHeight="1">
      <c r="A365" s="156">
        <v>2010.0</v>
      </c>
      <c r="B365" s="156" t="s">
        <v>134</v>
      </c>
      <c r="C365" s="156">
        <v>55.0</v>
      </c>
      <c r="D365" s="156">
        <v>33.3927981953522</v>
      </c>
    </row>
    <row r="366" ht="15.75" customHeight="1">
      <c r="A366" s="156">
        <v>2010.0</v>
      </c>
      <c r="B366" s="156" t="s">
        <v>134</v>
      </c>
      <c r="C366" s="156">
        <v>60.0</v>
      </c>
      <c r="D366" s="156">
        <v>19.0415630695011</v>
      </c>
    </row>
    <row r="367" ht="15.75" customHeight="1">
      <c r="A367" s="156">
        <v>2010.0</v>
      </c>
      <c r="B367" s="156" t="s">
        <v>134</v>
      </c>
      <c r="C367" s="156">
        <v>65.0</v>
      </c>
      <c r="D367" s="156">
        <v>11.0462751195354</v>
      </c>
    </row>
    <row r="368" ht="15.75" customHeight="1">
      <c r="A368" s="156">
        <v>2010.0</v>
      </c>
      <c r="B368" s="156" t="s">
        <v>134</v>
      </c>
      <c r="C368" s="156">
        <v>70.0</v>
      </c>
      <c r="D368" s="156">
        <v>11.9596717722379</v>
      </c>
    </row>
    <row r="369" ht="15.75" customHeight="1">
      <c r="A369" s="156">
        <v>2010.0</v>
      </c>
      <c r="B369" s="156" t="s">
        <v>134</v>
      </c>
      <c r="C369" s="156">
        <v>75.0</v>
      </c>
      <c r="D369" s="156">
        <v>7.01878583609804</v>
      </c>
    </row>
    <row r="370" ht="15.75" customHeight="1">
      <c r="A370" s="156">
        <v>2010.0</v>
      </c>
      <c r="B370" s="156" t="s">
        <v>134</v>
      </c>
      <c r="C370" s="156">
        <v>80.0</v>
      </c>
      <c r="D370" s="156">
        <v>4.23138686510513</v>
      </c>
    </row>
    <row r="371" ht="15.75" customHeight="1">
      <c r="A371" s="156">
        <v>2010.0</v>
      </c>
      <c r="B371" s="156" t="s">
        <v>134</v>
      </c>
      <c r="C371" s="156">
        <v>85.0</v>
      </c>
      <c r="D371" s="156">
        <v>3.50742004288776</v>
      </c>
    </row>
    <row r="372" ht="15.75" customHeight="1">
      <c r="A372" s="156">
        <v>2012.0</v>
      </c>
      <c r="B372" s="156" t="s">
        <v>134</v>
      </c>
      <c r="C372" s="156">
        <v>0.0</v>
      </c>
      <c r="D372" s="156">
        <v>1.14141871646575</v>
      </c>
    </row>
    <row r="373" ht="15.75" customHeight="1">
      <c r="A373" s="156">
        <v>2012.0</v>
      </c>
      <c r="B373" s="156" t="s">
        <v>134</v>
      </c>
      <c r="C373" s="156">
        <v>1.0</v>
      </c>
      <c r="D373" s="156">
        <v>3.42425614939725</v>
      </c>
    </row>
    <row r="374" ht="15.75" customHeight="1">
      <c r="A374" s="156">
        <v>2012.0</v>
      </c>
      <c r="B374" s="156" t="s">
        <v>134</v>
      </c>
      <c r="C374" s="156">
        <v>5.0</v>
      </c>
      <c r="D374" s="156">
        <v>1.14141871646575</v>
      </c>
    </row>
    <row r="375" ht="15.75" customHeight="1">
      <c r="A375" s="156">
        <v>2012.0</v>
      </c>
      <c r="B375" s="156" t="s">
        <v>134</v>
      </c>
      <c r="C375" s="156">
        <v>10.0</v>
      </c>
      <c r="D375" s="156">
        <v>7.98993101526026</v>
      </c>
    </row>
    <row r="376" ht="15.75" customHeight="1">
      <c r="A376" s="156">
        <v>2012.0</v>
      </c>
      <c r="B376" s="156" t="s">
        <v>134</v>
      </c>
      <c r="C376" s="156">
        <v>15.0</v>
      </c>
      <c r="D376" s="156">
        <v>68.4851229879451</v>
      </c>
    </row>
    <row r="377" ht="15.75" customHeight="1">
      <c r="A377" s="156">
        <v>2012.0</v>
      </c>
      <c r="B377" s="156" t="s">
        <v>134</v>
      </c>
      <c r="C377" s="156">
        <v>20.0</v>
      </c>
      <c r="D377" s="156">
        <v>126.697477527698</v>
      </c>
    </row>
    <row r="378" ht="15.75" customHeight="1">
      <c r="A378" s="156">
        <v>2012.0</v>
      </c>
      <c r="B378" s="156" t="s">
        <v>134</v>
      </c>
      <c r="C378" s="156">
        <v>25.0</v>
      </c>
      <c r="D378" s="156">
        <v>140.394502125287</v>
      </c>
    </row>
    <row r="379" ht="15.75" customHeight="1">
      <c r="A379" s="156">
        <v>2012.0</v>
      </c>
      <c r="B379" s="156" t="s">
        <v>134</v>
      </c>
      <c r="C379" s="156">
        <v>30.0</v>
      </c>
      <c r="D379" s="156">
        <v>123.273221378301</v>
      </c>
    </row>
    <row r="380" ht="15.75" customHeight="1">
      <c r="A380" s="156">
        <v>2012.0</v>
      </c>
      <c r="B380" s="156" t="s">
        <v>134</v>
      </c>
      <c r="C380" s="156">
        <v>35.0</v>
      </c>
      <c r="D380" s="156">
        <v>108.434778064246</v>
      </c>
    </row>
    <row r="381" ht="15.75" customHeight="1">
      <c r="A381" s="156">
        <v>2012.0</v>
      </c>
      <c r="B381" s="156" t="s">
        <v>134</v>
      </c>
      <c r="C381" s="156">
        <v>40.0</v>
      </c>
      <c r="D381" s="156">
        <v>79.8993101526026</v>
      </c>
    </row>
    <row r="382" ht="15.75" customHeight="1">
      <c r="A382" s="156">
        <v>2012.0</v>
      </c>
      <c r="B382" s="156" t="s">
        <v>134</v>
      </c>
      <c r="C382" s="156">
        <v>45.0</v>
      </c>
      <c r="D382" s="156">
        <v>62.7780294056163</v>
      </c>
    </row>
    <row r="383" ht="15.75" customHeight="1">
      <c r="A383" s="156">
        <v>2012.0</v>
      </c>
      <c r="B383" s="156" t="s">
        <v>134</v>
      </c>
      <c r="C383" s="156">
        <v>50.0</v>
      </c>
      <c r="D383" s="156">
        <v>42.2324925092328</v>
      </c>
    </row>
    <row r="384" ht="15.75" customHeight="1">
      <c r="A384" s="156">
        <v>2012.0</v>
      </c>
      <c r="B384" s="156" t="s">
        <v>134</v>
      </c>
      <c r="C384" s="156">
        <v>55.0</v>
      </c>
      <c r="D384" s="156">
        <v>34.2425614939725</v>
      </c>
    </row>
    <row r="385" ht="15.75" customHeight="1">
      <c r="A385" s="156">
        <v>2012.0</v>
      </c>
      <c r="B385" s="156" t="s">
        <v>134</v>
      </c>
      <c r="C385" s="156">
        <v>60.0</v>
      </c>
      <c r="D385" s="156">
        <v>21.6869556128493</v>
      </c>
    </row>
    <row r="386" ht="15.75" customHeight="1">
      <c r="A386" s="156">
        <v>2012.0</v>
      </c>
      <c r="B386" s="156" t="s">
        <v>134</v>
      </c>
      <c r="C386" s="156">
        <v>65.0</v>
      </c>
      <c r="D386" s="156">
        <v>19.4041181799178</v>
      </c>
    </row>
    <row r="387" ht="15.75" customHeight="1">
      <c r="A387" s="156">
        <v>2012.0</v>
      </c>
      <c r="B387" s="156" t="s">
        <v>134</v>
      </c>
      <c r="C387" s="156">
        <v>70.0</v>
      </c>
      <c r="D387" s="156">
        <v>15.9798620305205</v>
      </c>
    </row>
    <row r="388" ht="15.75" customHeight="1">
      <c r="A388" s="156">
        <v>2012.0</v>
      </c>
      <c r="B388" s="156" t="s">
        <v>134</v>
      </c>
      <c r="C388" s="156">
        <v>75.0</v>
      </c>
      <c r="D388" s="156">
        <v>6.84851229879451</v>
      </c>
    </row>
    <row r="389" ht="15.75" customHeight="1">
      <c r="A389" s="156">
        <v>2012.0</v>
      </c>
      <c r="B389" s="156" t="s">
        <v>134</v>
      </c>
      <c r="C389" s="156">
        <v>80.0</v>
      </c>
      <c r="D389" s="156">
        <v>3.42425614939725</v>
      </c>
    </row>
    <row r="390" ht="15.75" customHeight="1">
      <c r="A390" s="156">
        <v>2012.0</v>
      </c>
      <c r="B390" s="156" t="s">
        <v>134</v>
      </c>
      <c r="C390" s="156">
        <v>85.0</v>
      </c>
      <c r="D390" s="156">
        <v>2.2828374329315</v>
      </c>
    </row>
    <row r="391" ht="15.75" customHeight="1">
      <c r="A391" s="156">
        <v>2013.0</v>
      </c>
      <c r="B391" s="156" t="s">
        <v>134</v>
      </c>
      <c r="C391" s="156">
        <v>0.0</v>
      </c>
      <c r="D391" s="156">
        <v>2.15758933116156</v>
      </c>
    </row>
    <row r="392" ht="15.75" customHeight="1">
      <c r="A392" s="156">
        <v>2013.0</v>
      </c>
      <c r="B392" s="156" t="s">
        <v>134</v>
      </c>
      <c r="C392" s="156">
        <v>1.0</v>
      </c>
      <c r="D392" s="156">
        <v>2.15758933116156</v>
      </c>
    </row>
    <row r="393" ht="15.75" customHeight="1">
      <c r="A393" s="156">
        <v>2013.0</v>
      </c>
      <c r="B393" s="156" t="s">
        <v>134</v>
      </c>
      <c r="C393" s="156">
        <v>5.0</v>
      </c>
      <c r="D393" s="156">
        <v>0.0</v>
      </c>
    </row>
    <row r="394" ht="15.75" customHeight="1">
      <c r="A394" s="156">
        <v>2013.0</v>
      </c>
      <c r="B394" s="156" t="s">
        <v>134</v>
      </c>
      <c r="C394" s="156">
        <v>10.0</v>
      </c>
      <c r="D394" s="156">
        <v>2.15758933116156</v>
      </c>
    </row>
    <row r="395" ht="15.75" customHeight="1">
      <c r="A395" s="156">
        <v>2013.0</v>
      </c>
      <c r="B395" s="156" t="s">
        <v>134</v>
      </c>
      <c r="C395" s="156">
        <v>15.0</v>
      </c>
      <c r="D395" s="156">
        <v>59.3337066069429</v>
      </c>
    </row>
    <row r="396" ht="15.75" customHeight="1">
      <c r="A396" s="156">
        <v>2013.0</v>
      </c>
      <c r="B396" s="156" t="s">
        <v>134</v>
      </c>
      <c r="C396" s="156">
        <v>20.0</v>
      </c>
      <c r="D396" s="156">
        <v>101.406698564593</v>
      </c>
    </row>
    <row r="397" ht="15.75" customHeight="1">
      <c r="A397" s="156">
        <v>2013.0</v>
      </c>
      <c r="B397" s="156" t="s">
        <v>134</v>
      </c>
      <c r="C397" s="156">
        <v>25.0</v>
      </c>
      <c r="D397" s="156">
        <v>100.327903899013</v>
      </c>
    </row>
    <row r="398" ht="15.75" customHeight="1">
      <c r="A398" s="156">
        <v>2013.0</v>
      </c>
      <c r="B398" s="156" t="s">
        <v>134</v>
      </c>
      <c r="C398" s="156">
        <v>30.0</v>
      </c>
      <c r="D398" s="156">
        <v>100.327903899013</v>
      </c>
    </row>
    <row r="399" ht="15.75" customHeight="1">
      <c r="A399" s="156">
        <v>2013.0</v>
      </c>
      <c r="B399" s="156" t="s">
        <v>134</v>
      </c>
      <c r="C399" s="156">
        <v>35.0</v>
      </c>
      <c r="D399" s="156">
        <v>61.4912959381045</v>
      </c>
    </row>
    <row r="400" ht="15.75" customHeight="1">
      <c r="A400" s="156">
        <v>2013.0</v>
      </c>
      <c r="B400" s="156" t="s">
        <v>134</v>
      </c>
      <c r="C400" s="156">
        <v>40.0</v>
      </c>
      <c r="D400" s="156">
        <v>65.8064746004276</v>
      </c>
    </row>
    <row r="401" ht="15.75" customHeight="1">
      <c r="A401" s="156">
        <v>2013.0</v>
      </c>
      <c r="B401" s="156" t="s">
        <v>134</v>
      </c>
      <c r="C401" s="156">
        <v>45.0</v>
      </c>
      <c r="D401" s="156">
        <v>51.7821439478774</v>
      </c>
    </row>
    <row r="402" ht="15.75" customHeight="1">
      <c r="A402" s="156">
        <v>2013.0</v>
      </c>
      <c r="B402" s="156" t="s">
        <v>134</v>
      </c>
      <c r="C402" s="156">
        <v>50.0</v>
      </c>
      <c r="D402" s="156">
        <v>43.1517866232312</v>
      </c>
    </row>
    <row r="403" ht="15.75" customHeight="1">
      <c r="A403" s="156">
        <v>2013.0</v>
      </c>
      <c r="B403" s="156" t="s">
        <v>134</v>
      </c>
      <c r="C403" s="156">
        <v>55.0</v>
      </c>
      <c r="D403" s="156">
        <v>28.0486613051003</v>
      </c>
    </row>
    <row r="404" ht="15.75" customHeight="1">
      <c r="A404" s="156">
        <v>2013.0</v>
      </c>
      <c r="B404" s="156" t="s">
        <v>134</v>
      </c>
      <c r="C404" s="156">
        <v>60.0</v>
      </c>
      <c r="D404" s="156">
        <v>28.0486613051003</v>
      </c>
    </row>
    <row r="405" ht="15.75" customHeight="1">
      <c r="A405" s="156">
        <v>2013.0</v>
      </c>
      <c r="B405" s="156" t="s">
        <v>134</v>
      </c>
      <c r="C405" s="156">
        <v>65.0</v>
      </c>
      <c r="D405" s="156">
        <v>9.70915199022702</v>
      </c>
    </row>
    <row r="406" ht="15.75" customHeight="1">
      <c r="A406" s="156">
        <v>2013.0</v>
      </c>
      <c r="B406" s="156" t="s">
        <v>134</v>
      </c>
      <c r="C406" s="156">
        <v>70.0</v>
      </c>
      <c r="D406" s="156">
        <v>6.47276799348468</v>
      </c>
    </row>
    <row r="407" ht="15.75" customHeight="1">
      <c r="A407" s="156">
        <v>2013.0</v>
      </c>
      <c r="B407" s="156" t="s">
        <v>134</v>
      </c>
      <c r="C407" s="156">
        <v>75.0</v>
      </c>
      <c r="D407" s="156">
        <v>6.47276799348468</v>
      </c>
    </row>
    <row r="408" ht="15.75" customHeight="1">
      <c r="A408" s="156">
        <v>2013.0</v>
      </c>
      <c r="B408" s="156" t="s">
        <v>134</v>
      </c>
      <c r="C408" s="156">
        <v>80.0</v>
      </c>
      <c r="D408" s="156">
        <v>4.31517866232312</v>
      </c>
    </row>
    <row r="409" ht="15.75" customHeight="1">
      <c r="A409" s="156">
        <v>2013.0</v>
      </c>
      <c r="B409" s="156" t="s">
        <v>134</v>
      </c>
      <c r="C409" s="156">
        <v>85.0</v>
      </c>
      <c r="D409" s="156">
        <v>3.23638399674234</v>
      </c>
    </row>
    <row r="410" ht="15.75" customHeight="1">
      <c r="A410" s="156">
        <v>2014.0</v>
      </c>
      <c r="B410" s="156" t="s">
        <v>134</v>
      </c>
      <c r="C410" s="156">
        <v>1.0</v>
      </c>
      <c r="D410" s="156">
        <v>0.0</v>
      </c>
    </row>
    <row r="411" ht="15.75" customHeight="1">
      <c r="A411" s="156">
        <v>2014.0</v>
      </c>
      <c r="B411" s="156" t="s">
        <v>134</v>
      </c>
      <c r="C411" s="156">
        <v>5.0</v>
      </c>
      <c r="D411" s="156">
        <v>1.07954545454545</v>
      </c>
    </row>
    <row r="412" ht="15.75" customHeight="1">
      <c r="A412" s="156">
        <v>2014.0</v>
      </c>
      <c r="B412" s="156" t="s">
        <v>134</v>
      </c>
      <c r="C412" s="156">
        <v>10.0</v>
      </c>
      <c r="D412" s="156">
        <v>4.31818181818182</v>
      </c>
    </row>
    <row r="413" ht="15.75" customHeight="1">
      <c r="A413" s="156">
        <v>2014.0</v>
      </c>
      <c r="B413" s="156" t="s">
        <v>134</v>
      </c>
      <c r="C413" s="156">
        <v>15.0</v>
      </c>
      <c r="D413" s="156">
        <v>59.375</v>
      </c>
    </row>
    <row r="414" ht="15.75" customHeight="1">
      <c r="A414" s="156">
        <v>2014.0</v>
      </c>
      <c r="B414" s="156" t="s">
        <v>134</v>
      </c>
      <c r="C414" s="156">
        <v>20.0</v>
      </c>
      <c r="D414" s="156">
        <v>87.4431818181818</v>
      </c>
    </row>
    <row r="415" ht="15.75" customHeight="1">
      <c r="A415" s="156">
        <v>2014.0</v>
      </c>
      <c r="B415" s="156" t="s">
        <v>134</v>
      </c>
      <c r="C415" s="156">
        <v>25.0</v>
      </c>
      <c r="D415" s="156">
        <v>113.352272727273</v>
      </c>
    </row>
    <row r="416" ht="15.75" customHeight="1">
      <c r="A416" s="156">
        <v>2014.0</v>
      </c>
      <c r="B416" s="156" t="s">
        <v>134</v>
      </c>
      <c r="C416" s="156">
        <v>30.0</v>
      </c>
      <c r="D416" s="156">
        <v>118.75</v>
      </c>
    </row>
    <row r="417" ht="15.75" customHeight="1">
      <c r="A417" s="156">
        <v>2014.0</v>
      </c>
      <c r="B417" s="156" t="s">
        <v>134</v>
      </c>
      <c r="C417" s="156">
        <v>35.0</v>
      </c>
      <c r="D417" s="156">
        <v>90.6818181818182</v>
      </c>
    </row>
    <row r="418" ht="15.75" customHeight="1">
      <c r="A418" s="156">
        <v>2014.0</v>
      </c>
      <c r="B418" s="156" t="s">
        <v>134</v>
      </c>
      <c r="C418" s="156">
        <v>40.0</v>
      </c>
      <c r="D418" s="156">
        <v>83.125</v>
      </c>
    </row>
    <row r="419" ht="15.75" customHeight="1">
      <c r="A419" s="156">
        <v>2014.0</v>
      </c>
      <c r="B419" s="156" t="s">
        <v>134</v>
      </c>
      <c r="C419" s="156">
        <v>45.0</v>
      </c>
      <c r="D419" s="156">
        <v>68.0113636363636</v>
      </c>
    </row>
    <row r="420" ht="15.75" customHeight="1">
      <c r="A420" s="156">
        <v>2014.0</v>
      </c>
      <c r="B420" s="156" t="s">
        <v>134</v>
      </c>
      <c r="C420" s="156">
        <v>50.0</v>
      </c>
      <c r="D420" s="156">
        <v>42.1022727272727</v>
      </c>
    </row>
    <row r="421" ht="15.75" customHeight="1">
      <c r="A421" s="156">
        <v>2014.0</v>
      </c>
      <c r="B421" s="156" t="s">
        <v>134</v>
      </c>
      <c r="C421" s="156">
        <v>55.0</v>
      </c>
      <c r="D421" s="156">
        <v>33.4659090909091</v>
      </c>
    </row>
    <row r="422" ht="15.75" customHeight="1">
      <c r="A422" s="156">
        <v>2014.0</v>
      </c>
      <c r="B422" s="156" t="s">
        <v>134</v>
      </c>
      <c r="C422" s="156">
        <v>60.0</v>
      </c>
      <c r="D422" s="156">
        <v>24.8295454545455</v>
      </c>
    </row>
    <row r="423" ht="15.75" customHeight="1">
      <c r="A423" s="156">
        <v>2014.0</v>
      </c>
      <c r="B423" s="156" t="s">
        <v>134</v>
      </c>
      <c r="C423" s="156">
        <v>65.0</v>
      </c>
      <c r="D423" s="156">
        <v>19.4318181818182</v>
      </c>
    </row>
    <row r="424" ht="15.75" customHeight="1">
      <c r="A424" s="156">
        <v>2014.0</v>
      </c>
      <c r="B424" s="156" t="s">
        <v>134</v>
      </c>
      <c r="C424" s="156">
        <v>70.0</v>
      </c>
      <c r="D424" s="156">
        <v>6.47727272727273</v>
      </c>
    </row>
    <row r="425" ht="15.75" customHeight="1">
      <c r="A425" s="156">
        <v>2014.0</v>
      </c>
      <c r="B425" s="156" t="s">
        <v>134</v>
      </c>
      <c r="C425" s="156">
        <v>75.0</v>
      </c>
      <c r="D425" s="156">
        <v>8.63636363636364</v>
      </c>
    </row>
    <row r="426" ht="15.75" customHeight="1">
      <c r="A426" s="156">
        <v>2014.0</v>
      </c>
      <c r="B426" s="156" t="s">
        <v>134</v>
      </c>
      <c r="C426" s="156">
        <v>80.0</v>
      </c>
      <c r="D426" s="156">
        <v>6.47727272727273</v>
      </c>
    </row>
    <row r="427" ht="15.75" customHeight="1">
      <c r="A427" s="156">
        <v>2014.0</v>
      </c>
      <c r="B427" s="156" t="s">
        <v>134</v>
      </c>
      <c r="C427" s="156">
        <v>85.0</v>
      </c>
      <c r="D427" s="156">
        <v>4.31818181818182</v>
      </c>
    </row>
    <row r="428" ht="15.75" customHeight="1">
      <c r="A428" s="156">
        <v>2015.0</v>
      </c>
      <c r="B428" s="156" t="s">
        <v>134</v>
      </c>
      <c r="C428" s="156">
        <v>1.0</v>
      </c>
      <c r="D428" s="156">
        <v>0.0</v>
      </c>
    </row>
    <row r="429" ht="15.75" customHeight="1">
      <c r="A429" s="156">
        <v>2015.0</v>
      </c>
      <c r="B429" s="156" t="s">
        <v>134</v>
      </c>
      <c r="C429" s="156">
        <v>5.0</v>
      </c>
      <c r="D429" s="156">
        <v>4.24824720052334</v>
      </c>
    </row>
    <row r="430" ht="15.75" customHeight="1">
      <c r="A430" s="156">
        <v>2015.0</v>
      </c>
      <c r="B430" s="156" t="s">
        <v>134</v>
      </c>
      <c r="C430" s="156">
        <v>10.0</v>
      </c>
      <c r="D430" s="156">
        <v>5.31030900065417</v>
      </c>
    </row>
    <row r="431" ht="15.75" customHeight="1">
      <c r="A431" s="156">
        <v>2015.0</v>
      </c>
      <c r="B431" s="156" t="s">
        <v>134</v>
      </c>
      <c r="C431" s="156">
        <v>15.0</v>
      </c>
      <c r="D431" s="156">
        <v>65.8478316081117</v>
      </c>
    </row>
    <row r="432" ht="15.75" customHeight="1">
      <c r="A432" s="156">
        <v>2015.0</v>
      </c>
      <c r="B432" s="156" t="s">
        <v>134</v>
      </c>
      <c r="C432" s="156">
        <v>20.0</v>
      </c>
      <c r="D432" s="156">
        <v>128.509477815831</v>
      </c>
    </row>
    <row r="433" ht="15.75" customHeight="1">
      <c r="A433" s="156">
        <v>2015.0</v>
      </c>
      <c r="B433" s="156" t="s">
        <v>134</v>
      </c>
      <c r="C433" s="156">
        <v>25.0</v>
      </c>
      <c r="D433" s="156">
        <v>138.068034017009</v>
      </c>
    </row>
    <row r="434" ht="15.75" customHeight="1">
      <c r="A434" s="156">
        <v>2015.0</v>
      </c>
      <c r="B434" s="156" t="s">
        <v>134</v>
      </c>
      <c r="C434" s="156">
        <v>30.0</v>
      </c>
      <c r="D434" s="156">
        <v>111.516489013738</v>
      </c>
    </row>
    <row r="435" ht="15.75" customHeight="1">
      <c r="A435" s="156">
        <v>2015.0</v>
      </c>
      <c r="B435" s="156" t="s">
        <v>134</v>
      </c>
      <c r="C435" s="156">
        <v>35.0</v>
      </c>
      <c r="D435" s="156">
        <v>117.800354664512</v>
      </c>
    </row>
    <row r="436" ht="15.75" customHeight="1">
      <c r="A436" s="156">
        <v>2015.0</v>
      </c>
      <c r="B436" s="156" t="s">
        <v>134</v>
      </c>
      <c r="C436" s="156">
        <v>40.0</v>
      </c>
      <c r="D436" s="156">
        <v>95.5855620117751</v>
      </c>
    </row>
    <row r="437" ht="15.75" customHeight="1">
      <c r="A437" s="156">
        <v>2015.0</v>
      </c>
      <c r="B437" s="156" t="s">
        <v>134</v>
      </c>
      <c r="C437" s="156">
        <v>45.0</v>
      </c>
      <c r="D437" s="156">
        <v>67.9719552083734</v>
      </c>
    </row>
    <row r="438" ht="15.75" customHeight="1">
      <c r="A438" s="156">
        <v>2015.0</v>
      </c>
      <c r="B438" s="156" t="s">
        <v>134</v>
      </c>
      <c r="C438" s="156">
        <v>50.0</v>
      </c>
      <c r="D438" s="156">
        <v>45.6686574056259</v>
      </c>
    </row>
    <row r="439" ht="15.75" customHeight="1">
      <c r="A439" s="156">
        <v>2015.0</v>
      </c>
      <c r="B439" s="156" t="s">
        <v>134</v>
      </c>
      <c r="C439" s="156">
        <v>55.0</v>
      </c>
      <c r="D439" s="156">
        <v>35.0480394043175</v>
      </c>
    </row>
    <row r="440" ht="15.75" customHeight="1">
      <c r="A440" s="156">
        <v>2015.0</v>
      </c>
      <c r="B440" s="156" t="s">
        <v>134</v>
      </c>
      <c r="C440" s="156">
        <v>60.0</v>
      </c>
      <c r="D440" s="156">
        <v>30.7997922037942</v>
      </c>
    </row>
    <row r="441" ht="15.75" customHeight="1">
      <c r="A441" s="156">
        <v>2015.0</v>
      </c>
      <c r="B441" s="156" t="s">
        <v>134</v>
      </c>
      <c r="C441" s="156">
        <v>65.0</v>
      </c>
      <c r="D441" s="156">
        <v>14.8688652018317</v>
      </c>
    </row>
    <row r="442" ht="15.75" customHeight="1">
      <c r="A442" s="156">
        <v>2015.0</v>
      </c>
      <c r="B442" s="156" t="s">
        <v>134</v>
      </c>
      <c r="C442" s="156">
        <v>70.0</v>
      </c>
      <c r="D442" s="156">
        <v>10.6206180013083</v>
      </c>
    </row>
    <row r="443" ht="15.75" customHeight="1">
      <c r="A443" s="156">
        <v>2015.0</v>
      </c>
      <c r="B443" s="156" t="s">
        <v>134</v>
      </c>
      <c r="C443" s="156">
        <v>75.0</v>
      </c>
      <c r="D443" s="156">
        <v>8.49649440104668</v>
      </c>
    </row>
    <row r="444" ht="15.75" customHeight="1">
      <c r="A444" s="156">
        <v>2015.0</v>
      </c>
      <c r="B444" s="156" t="s">
        <v>134</v>
      </c>
      <c r="C444" s="156">
        <v>80.0</v>
      </c>
      <c r="D444" s="156">
        <v>1.06206180013083</v>
      </c>
    </row>
    <row r="445" ht="15.75" customHeight="1">
      <c r="A445" s="156">
        <v>2015.0</v>
      </c>
      <c r="B445" s="156" t="s">
        <v>134</v>
      </c>
      <c r="C445" s="156">
        <v>85.0</v>
      </c>
      <c r="D445" s="156">
        <v>3.1861854003925</v>
      </c>
    </row>
    <row r="446" ht="15.75" customHeight="1">
      <c r="A446" s="156">
        <v>2016.0</v>
      </c>
      <c r="B446" s="156" t="s">
        <v>134</v>
      </c>
      <c r="C446" s="156">
        <v>0.0</v>
      </c>
      <c r="D446" s="156">
        <v>1.0365284549209</v>
      </c>
    </row>
    <row r="447" ht="15.75" customHeight="1">
      <c r="A447" s="156">
        <v>2016.0</v>
      </c>
      <c r="B447" s="156" t="s">
        <v>134</v>
      </c>
      <c r="C447" s="156">
        <v>5.0</v>
      </c>
      <c r="D447" s="156">
        <v>2.07305690984181</v>
      </c>
    </row>
    <row r="448" ht="15.75" customHeight="1">
      <c r="A448" s="156">
        <v>2016.0</v>
      </c>
      <c r="B448" s="156" t="s">
        <v>134</v>
      </c>
      <c r="C448" s="156">
        <v>10.0</v>
      </c>
      <c r="D448" s="156">
        <v>3.10958536476271</v>
      </c>
    </row>
    <row r="449" ht="15.75" customHeight="1">
      <c r="A449" s="156">
        <v>2016.0</v>
      </c>
      <c r="B449" s="156" t="s">
        <v>134</v>
      </c>
      <c r="C449" s="156">
        <v>15.0</v>
      </c>
      <c r="D449" s="156">
        <v>77.7396341190679</v>
      </c>
    </row>
    <row r="450" ht="15.75" customHeight="1">
      <c r="A450" s="156">
        <v>2016.0</v>
      </c>
      <c r="B450" s="156" t="s">
        <v>134</v>
      </c>
      <c r="C450" s="156">
        <v>20.0</v>
      </c>
      <c r="D450" s="156">
        <v>184.502064975921</v>
      </c>
    </row>
    <row r="451" ht="15.75" customHeight="1">
      <c r="A451" s="156">
        <v>2016.0</v>
      </c>
      <c r="B451" s="156" t="s">
        <v>134</v>
      </c>
      <c r="C451" s="156">
        <v>25.0</v>
      </c>
      <c r="D451" s="156">
        <v>193.675341801971</v>
      </c>
    </row>
    <row r="452" ht="15.75" customHeight="1">
      <c r="A452" s="156">
        <v>2016.0</v>
      </c>
      <c r="B452" s="156" t="s">
        <v>134</v>
      </c>
      <c r="C452" s="156">
        <v>30.0</v>
      </c>
      <c r="D452" s="156">
        <v>162.734967422582</v>
      </c>
    </row>
    <row r="453" ht="15.75" customHeight="1">
      <c r="A453" s="156">
        <v>2016.0</v>
      </c>
      <c r="B453" s="156" t="s">
        <v>134</v>
      </c>
      <c r="C453" s="156">
        <v>35.0</v>
      </c>
      <c r="D453" s="156">
        <v>133.712170684797</v>
      </c>
    </row>
    <row r="454" ht="15.75" customHeight="1">
      <c r="A454" s="156">
        <v>2016.0</v>
      </c>
      <c r="B454" s="156" t="s">
        <v>134</v>
      </c>
      <c r="C454" s="156">
        <v>40.0</v>
      </c>
      <c r="D454" s="156">
        <v>121.273829225746</v>
      </c>
    </row>
    <row r="455" ht="15.75" customHeight="1">
      <c r="A455" s="156">
        <v>2016.0</v>
      </c>
      <c r="B455" s="156" t="s">
        <v>134</v>
      </c>
      <c r="C455" s="156">
        <v>45.0</v>
      </c>
      <c r="D455" s="156">
        <v>83.9588048485933</v>
      </c>
    </row>
    <row r="456" ht="15.75" customHeight="1">
      <c r="A456" s="156">
        <v>2016.0</v>
      </c>
      <c r="B456" s="156" t="s">
        <v>134</v>
      </c>
      <c r="C456" s="156">
        <v>50.0</v>
      </c>
      <c r="D456" s="156">
        <v>67.3743495698588</v>
      </c>
    </row>
    <row r="457" ht="15.75" customHeight="1">
      <c r="A457" s="156">
        <v>2016.0</v>
      </c>
      <c r="B457" s="156" t="s">
        <v>134</v>
      </c>
      <c r="C457" s="156">
        <v>55.0</v>
      </c>
      <c r="D457" s="156">
        <v>51.8264227460452</v>
      </c>
    </row>
    <row r="458" ht="15.75" customHeight="1">
      <c r="A458" s="156">
        <v>2016.0</v>
      </c>
      <c r="B458" s="156" t="s">
        <v>134</v>
      </c>
      <c r="C458" s="156">
        <v>60.0</v>
      </c>
      <c r="D458" s="156">
        <v>29.0227967377853</v>
      </c>
    </row>
    <row r="459" ht="15.75" customHeight="1">
      <c r="A459" s="156">
        <v>2016.0</v>
      </c>
      <c r="B459" s="156" t="s">
        <v>134</v>
      </c>
      <c r="C459" s="156">
        <v>65.0</v>
      </c>
      <c r="D459" s="156">
        <v>22.8036260082599</v>
      </c>
    </row>
    <row r="460" ht="15.75" customHeight="1">
      <c r="A460" s="156">
        <v>2016.0</v>
      </c>
      <c r="B460" s="156" t="s">
        <v>134</v>
      </c>
      <c r="C460" s="156">
        <v>70.0</v>
      </c>
      <c r="D460" s="156">
        <v>6.21917072952543</v>
      </c>
    </row>
    <row r="461" ht="15.75" customHeight="1">
      <c r="A461" s="156">
        <v>2016.0</v>
      </c>
      <c r="B461" s="156" t="s">
        <v>134</v>
      </c>
      <c r="C461" s="156">
        <v>75.0</v>
      </c>
      <c r="D461" s="156">
        <v>10.365284549209</v>
      </c>
    </row>
    <row r="462" ht="15.75" customHeight="1">
      <c r="A462" s="156">
        <v>2016.0</v>
      </c>
      <c r="B462" s="156" t="s">
        <v>134</v>
      </c>
      <c r="C462" s="156">
        <v>80.0</v>
      </c>
      <c r="D462" s="156">
        <v>5.18264227460452</v>
      </c>
    </row>
    <row r="463" ht="15.75" customHeight="1">
      <c r="A463" s="156">
        <v>2016.0</v>
      </c>
      <c r="B463" s="156" t="s">
        <v>134</v>
      </c>
      <c r="C463" s="156">
        <v>85.0</v>
      </c>
      <c r="D463" s="156">
        <v>2.07305690984181</v>
      </c>
    </row>
    <row r="464" ht="15.75" customHeight="1">
      <c r="A464" s="156">
        <v>2017.0</v>
      </c>
      <c r="B464" s="156" t="s">
        <v>134</v>
      </c>
      <c r="C464" s="156">
        <v>0.0</v>
      </c>
      <c r="D464" s="156">
        <v>1.0237638405884</v>
      </c>
    </row>
    <row r="465" ht="15.75" customHeight="1">
      <c r="A465" s="156">
        <v>2017.0</v>
      </c>
      <c r="B465" s="156" t="s">
        <v>134</v>
      </c>
      <c r="C465" s="156">
        <v>1.0</v>
      </c>
      <c r="D465" s="156">
        <v>1.0237638405884</v>
      </c>
    </row>
    <row r="466" ht="15.75" customHeight="1">
      <c r="A466" s="156">
        <v>2017.0</v>
      </c>
      <c r="B466" s="156" t="s">
        <v>134</v>
      </c>
      <c r="C466" s="156">
        <v>5.0</v>
      </c>
      <c r="D466" s="156">
        <v>4.0950553623536</v>
      </c>
    </row>
    <row r="467" ht="15.75" customHeight="1">
      <c r="A467" s="156">
        <v>2017.0</v>
      </c>
      <c r="B467" s="156" t="s">
        <v>134</v>
      </c>
      <c r="C467" s="156">
        <v>10.0</v>
      </c>
      <c r="D467" s="156">
        <v>3.0712915217652</v>
      </c>
    </row>
    <row r="468" ht="15.75" customHeight="1">
      <c r="A468" s="156">
        <v>2017.0</v>
      </c>
      <c r="B468" s="156" t="s">
        <v>134</v>
      </c>
      <c r="C468" s="156">
        <v>15.0</v>
      </c>
      <c r="D468" s="156">
        <v>118.756605508254</v>
      </c>
    </row>
    <row r="469" ht="15.75" customHeight="1">
      <c r="A469" s="156">
        <v>2017.0</v>
      </c>
      <c r="B469" s="156" t="s">
        <v>134</v>
      </c>
      <c r="C469" s="156">
        <v>20.0</v>
      </c>
      <c r="D469" s="156">
        <v>235.465683335332</v>
      </c>
    </row>
    <row r="470" ht="15.75" customHeight="1">
      <c r="A470" s="156">
        <v>2017.0</v>
      </c>
      <c r="B470" s="156" t="s">
        <v>134</v>
      </c>
      <c r="C470" s="156">
        <v>25.0</v>
      </c>
      <c r="D470" s="156">
        <v>273.344945437103</v>
      </c>
    </row>
    <row r="471" ht="15.75" customHeight="1">
      <c r="A471" s="156">
        <v>2017.0</v>
      </c>
      <c r="B471" s="156" t="s">
        <v>134</v>
      </c>
      <c r="C471" s="156">
        <v>30.0</v>
      </c>
      <c r="D471" s="156">
        <v>247.750849422393</v>
      </c>
    </row>
    <row r="472" ht="15.75" customHeight="1">
      <c r="A472" s="156">
        <v>2017.0</v>
      </c>
      <c r="B472" s="156" t="s">
        <v>134</v>
      </c>
      <c r="C472" s="156">
        <v>35.0</v>
      </c>
      <c r="D472" s="156">
        <v>201.681476595915</v>
      </c>
    </row>
    <row r="473" ht="15.75" customHeight="1">
      <c r="A473" s="156">
        <v>2017.0</v>
      </c>
      <c r="B473" s="156" t="s">
        <v>134</v>
      </c>
      <c r="C473" s="156">
        <v>40.0</v>
      </c>
      <c r="D473" s="156">
        <v>180.182435943558</v>
      </c>
    </row>
    <row r="474" ht="15.75" customHeight="1">
      <c r="A474" s="156">
        <v>2017.0</v>
      </c>
      <c r="B474" s="156" t="s">
        <v>134</v>
      </c>
      <c r="C474" s="156">
        <v>45.0</v>
      </c>
      <c r="D474" s="156">
        <v>124.899188551785</v>
      </c>
    </row>
    <row r="475" ht="15.75" customHeight="1">
      <c r="A475" s="156">
        <v>2017.0</v>
      </c>
      <c r="B475" s="156" t="s">
        <v>134</v>
      </c>
      <c r="C475" s="156">
        <v>50.0</v>
      </c>
      <c r="D475" s="156">
        <v>95.2100371747212</v>
      </c>
    </row>
    <row r="476" ht="15.75" customHeight="1">
      <c r="A476" s="156">
        <v>2017.0</v>
      </c>
      <c r="B476" s="156" t="s">
        <v>134</v>
      </c>
      <c r="C476" s="156">
        <v>55.0</v>
      </c>
      <c r="D476" s="156">
        <v>73.7109965223648</v>
      </c>
    </row>
    <row r="477" ht="15.75" customHeight="1">
      <c r="A477" s="156">
        <v>2017.0</v>
      </c>
      <c r="B477" s="156" t="s">
        <v>134</v>
      </c>
      <c r="C477" s="156">
        <v>60.0</v>
      </c>
      <c r="D477" s="156">
        <v>35.831734420594</v>
      </c>
    </row>
    <row r="478" ht="15.75" customHeight="1">
      <c r="A478" s="156">
        <v>2017.0</v>
      </c>
      <c r="B478" s="156" t="s">
        <v>134</v>
      </c>
      <c r="C478" s="156">
        <v>65.0</v>
      </c>
      <c r="D478" s="156">
        <v>27.6416236958868</v>
      </c>
    </row>
    <row r="479" ht="15.75" customHeight="1">
      <c r="A479" s="156">
        <v>2017.0</v>
      </c>
      <c r="B479" s="156" t="s">
        <v>134</v>
      </c>
      <c r="C479" s="156">
        <v>70.0</v>
      </c>
      <c r="D479" s="156">
        <v>17.4039852900028</v>
      </c>
    </row>
    <row r="480" ht="15.75" customHeight="1">
      <c r="A480" s="156">
        <v>2017.0</v>
      </c>
      <c r="B480" s="156" t="s">
        <v>134</v>
      </c>
      <c r="C480" s="156">
        <v>75.0</v>
      </c>
      <c r="D480" s="156">
        <v>7.1663468841188</v>
      </c>
    </row>
    <row r="481" ht="15.75" customHeight="1">
      <c r="A481" s="156">
        <v>2017.0</v>
      </c>
      <c r="B481" s="156" t="s">
        <v>134</v>
      </c>
      <c r="C481" s="156">
        <v>80.0</v>
      </c>
      <c r="D481" s="156">
        <v>2.0475276811768</v>
      </c>
    </row>
    <row r="482" ht="15.75" customHeight="1">
      <c r="A482" s="156">
        <v>2017.0</v>
      </c>
      <c r="B482" s="156" t="s">
        <v>134</v>
      </c>
      <c r="C482" s="156">
        <v>85.0</v>
      </c>
      <c r="D482" s="156">
        <v>2.0475276811768</v>
      </c>
    </row>
    <row r="483" ht="15.75" customHeight="1">
      <c r="A483" s="158">
        <v>2019.0</v>
      </c>
      <c r="B483" s="158" t="s">
        <v>134</v>
      </c>
      <c r="C483" s="158">
        <v>0.0</v>
      </c>
      <c r="D483" s="158">
        <v>1.01426982017323</v>
      </c>
    </row>
    <row r="484" ht="15.75" customHeight="1">
      <c r="A484" s="158">
        <v>2019.0</v>
      </c>
      <c r="B484" s="158" t="s">
        <v>134</v>
      </c>
      <c r="C484" s="158">
        <v>1.0</v>
      </c>
      <c r="D484" s="158">
        <v>2.02167182662539</v>
      </c>
    </row>
    <row r="485" ht="15.75" customHeight="1">
      <c r="A485" s="158">
        <v>2019.0</v>
      </c>
      <c r="B485" s="158" t="s">
        <v>134</v>
      </c>
      <c r="C485" s="158">
        <v>5.0</v>
      </c>
      <c r="D485" s="158">
        <v>2.031973547207</v>
      </c>
    </row>
    <row r="486" ht="15.75" customHeight="1">
      <c r="A486" s="158">
        <v>2019.0</v>
      </c>
      <c r="B486" s="158" t="s">
        <v>134</v>
      </c>
      <c r="C486" s="158">
        <v>10.0</v>
      </c>
      <c r="D486" s="158">
        <v>7.09645483435207</v>
      </c>
    </row>
    <row r="487" ht="15.75" customHeight="1">
      <c r="A487" s="158">
        <v>2019.0</v>
      </c>
      <c r="B487" s="158" t="s">
        <v>134</v>
      </c>
      <c r="C487" s="158">
        <v>15.0</v>
      </c>
      <c r="D487" s="158">
        <v>84.744755540803</v>
      </c>
    </row>
    <row r="488" ht="15.75" customHeight="1">
      <c r="A488" s="158">
        <v>2019.0</v>
      </c>
      <c r="B488" s="158" t="s">
        <v>134</v>
      </c>
      <c r="C488" s="158">
        <v>20.0</v>
      </c>
      <c r="D488" s="158">
        <v>193.770176442274</v>
      </c>
    </row>
    <row r="489" ht="15.75" customHeight="1">
      <c r="A489" s="158">
        <v>2019.0</v>
      </c>
      <c r="B489" s="158" t="s">
        <v>134</v>
      </c>
      <c r="C489" s="158">
        <v>25.0</v>
      </c>
      <c r="D489" s="158">
        <v>218.563127573319</v>
      </c>
    </row>
    <row r="490" ht="15.75" customHeight="1">
      <c r="A490" s="158">
        <v>2019.0</v>
      </c>
      <c r="B490" s="158" t="s">
        <v>134</v>
      </c>
      <c r="C490" s="158">
        <v>30.0</v>
      </c>
      <c r="D490" s="158">
        <v>193.708366118784</v>
      </c>
    </row>
    <row r="491" ht="15.75" customHeight="1">
      <c r="A491" s="158">
        <v>2019.0</v>
      </c>
      <c r="B491" s="158" t="s">
        <v>134</v>
      </c>
      <c r="C491" s="158">
        <v>35.0</v>
      </c>
      <c r="D491" s="158">
        <v>165.325566885341</v>
      </c>
    </row>
    <row r="492" ht="15.75" customHeight="1">
      <c r="A492" s="158">
        <v>2019.0</v>
      </c>
      <c r="B492" s="158" t="s">
        <v>134</v>
      </c>
      <c r="C492" s="158">
        <v>40.0</v>
      </c>
      <c r="D492" s="158">
        <v>138.979002711756</v>
      </c>
    </row>
    <row r="493" ht="15.75" customHeight="1">
      <c r="A493" s="158">
        <v>2019.0</v>
      </c>
      <c r="B493" s="158" t="s">
        <v>134</v>
      </c>
      <c r="C493" s="158">
        <v>45.0</v>
      </c>
      <c r="D493" s="158">
        <v>113.085934089024</v>
      </c>
    </row>
    <row r="494" ht="15.75" customHeight="1">
      <c r="A494" s="158">
        <v>2019.0</v>
      </c>
      <c r="B494" s="158" t="s">
        <v>134</v>
      </c>
      <c r="C494" s="158">
        <v>50.0</v>
      </c>
      <c r="D494" s="158">
        <v>78.604194109995</v>
      </c>
    </row>
    <row r="495" ht="15.75" customHeight="1">
      <c r="A495" s="158">
        <v>2019.0</v>
      </c>
      <c r="B495" s="158" t="s">
        <v>134</v>
      </c>
      <c r="C495" s="158">
        <v>55.0</v>
      </c>
      <c r="D495" s="158">
        <v>46.1132207958463</v>
      </c>
    </row>
    <row r="496" ht="15.75" customHeight="1">
      <c r="A496" s="158">
        <v>2019.0</v>
      </c>
      <c r="B496" s="158" t="s">
        <v>134</v>
      </c>
      <c r="C496" s="158">
        <v>60.0</v>
      </c>
      <c r="D496" s="158">
        <v>37.0294332034742</v>
      </c>
    </row>
    <row r="497" ht="15.75" customHeight="1">
      <c r="A497" s="158">
        <v>2019.0</v>
      </c>
      <c r="B497" s="158" t="s">
        <v>134</v>
      </c>
      <c r="C497" s="158">
        <v>65.0</v>
      </c>
      <c r="D497" s="158">
        <v>22.3036343232294</v>
      </c>
    </row>
    <row r="498" ht="15.75" customHeight="1">
      <c r="A498" s="158">
        <v>2019.0</v>
      </c>
      <c r="B498" s="158" t="s">
        <v>134</v>
      </c>
      <c r="C498" s="158">
        <v>70.0</v>
      </c>
      <c r="D498" s="158">
        <v>18.2602906699787</v>
      </c>
    </row>
    <row r="499" ht="15.75" customHeight="1">
      <c r="A499" s="158">
        <v>2019.0</v>
      </c>
      <c r="B499" s="158" t="s">
        <v>134</v>
      </c>
      <c r="C499" s="158">
        <v>75.0</v>
      </c>
      <c r="D499" s="158">
        <v>6.59103687769573</v>
      </c>
    </row>
    <row r="500" ht="15.75" customHeight="1">
      <c r="A500" s="158">
        <v>2019.0</v>
      </c>
      <c r="B500" s="158" t="s">
        <v>134</v>
      </c>
      <c r="C500" s="158">
        <v>80.0</v>
      </c>
      <c r="D500" s="158">
        <v>2.53052369014227</v>
      </c>
    </row>
    <row r="501" ht="15.75" customHeight="1">
      <c r="A501" s="158">
        <v>2019.0</v>
      </c>
      <c r="B501" s="158" t="s">
        <v>134</v>
      </c>
      <c r="C501" s="158">
        <v>85.0</v>
      </c>
      <c r="D501" s="158">
        <v>3.55166132403657</v>
      </c>
    </row>
    <row r="502" ht="15.75" customHeight="1">
      <c r="A502" s="156">
        <v>2020.0</v>
      </c>
      <c r="B502" s="156" t="s">
        <v>134</v>
      </c>
      <c r="C502" s="156">
        <v>0.0</v>
      </c>
      <c r="D502" s="156">
        <v>0.0</v>
      </c>
    </row>
    <row r="503" ht="15.75" customHeight="1">
      <c r="A503" s="156">
        <v>2020.0</v>
      </c>
      <c r="B503" s="156" t="s">
        <v>134</v>
      </c>
      <c r="C503" s="156">
        <v>1.0</v>
      </c>
      <c r="D503" s="156">
        <v>2.00964320154291</v>
      </c>
    </row>
    <row r="504" ht="15.75" customHeight="1">
      <c r="A504" s="156">
        <v>2020.0</v>
      </c>
      <c r="B504" s="156" t="s">
        <v>134</v>
      </c>
      <c r="C504" s="156">
        <v>5.0</v>
      </c>
      <c r="D504" s="156">
        <v>0.0</v>
      </c>
    </row>
    <row r="505" ht="15.75" customHeight="1">
      <c r="A505" s="156">
        <v>2020.0</v>
      </c>
      <c r="B505" s="156" t="s">
        <v>134</v>
      </c>
      <c r="C505" s="156">
        <v>10.0</v>
      </c>
      <c r="D505" s="156">
        <v>4.01928640308582</v>
      </c>
    </row>
    <row r="506" ht="15.75" customHeight="1">
      <c r="A506" s="156">
        <v>2020.0</v>
      </c>
      <c r="B506" s="156" t="s">
        <v>134</v>
      </c>
      <c r="C506" s="156">
        <v>15.0</v>
      </c>
      <c r="D506" s="156">
        <v>44.2121504339441</v>
      </c>
    </row>
    <row r="507" ht="15.75" customHeight="1">
      <c r="A507" s="156">
        <v>2020.0</v>
      </c>
      <c r="B507" s="156" t="s">
        <v>134</v>
      </c>
      <c r="C507" s="156">
        <v>20.0</v>
      </c>
      <c r="D507" s="156">
        <v>126.607521697203</v>
      </c>
    </row>
    <row r="508" ht="15.75" customHeight="1">
      <c r="A508" s="156">
        <v>2020.0</v>
      </c>
      <c r="B508" s="156" t="s">
        <v>134</v>
      </c>
      <c r="C508" s="156">
        <v>25.0</v>
      </c>
      <c r="D508" s="156">
        <v>177.853423336548</v>
      </c>
    </row>
    <row r="509" ht="15.75" customHeight="1">
      <c r="A509" s="156">
        <v>2020.0</v>
      </c>
      <c r="B509" s="156" t="s">
        <v>134</v>
      </c>
      <c r="C509" s="156">
        <v>30.0</v>
      </c>
      <c r="D509" s="156">
        <v>146.703953712633</v>
      </c>
    </row>
    <row r="510" ht="15.75" customHeight="1">
      <c r="A510" s="156">
        <v>2020.0</v>
      </c>
      <c r="B510" s="156" t="s">
        <v>134</v>
      </c>
      <c r="C510" s="156">
        <v>35.0</v>
      </c>
      <c r="D510" s="156">
        <v>132.636451301832</v>
      </c>
    </row>
    <row r="511" ht="15.75" customHeight="1">
      <c r="A511" s="156">
        <v>2020.0</v>
      </c>
      <c r="B511" s="156" t="s">
        <v>134</v>
      </c>
      <c r="C511" s="156">
        <v>40.0</v>
      </c>
      <c r="D511" s="156">
        <v>108.520732883317</v>
      </c>
    </row>
    <row r="512" ht="15.75" customHeight="1">
      <c r="A512" s="156">
        <v>2020.0</v>
      </c>
      <c r="B512" s="156" t="s">
        <v>134</v>
      </c>
      <c r="C512" s="156">
        <v>45.0</v>
      </c>
      <c r="D512" s="156">
        <v>108.520732883317</v>
      </c>
    </row>
    <row r="513" ht="15.75" customHeight="1">
      <c r="A513" s="156">
        <v>2020.0</v>
      </c>
      <c r="B513" s="156" t="s">
        <v>134</v>
      </c>
      <c r="C513" s="156">
        <v>50.0</v>
      </c>
      <c r="D513" s="156">
        <v>68.327868852459</v>
      </c>
    </row>
    <row r="514" ht="15.75" customHeight="1">
      <c r="A514" s="156">
        <v>2020.0</v>
      </c>
      <c r="B514" s="156" t="s">
        <v>134</v>
      </c>
      <c r="C514" s="156">
        <v>55.0</v>
      </c>
      <c r="D514" s="156">
        <v>54.2603664416586</v>
      </c>
    </row>
    <row r="515" ht="15.75" customHeight="1">
      <c r="A515" s="156">
        <v>2020.0</v>
      </c>
      <c r="B515" s="156" t="s">
        <v>134</v>
      </c>
      <c r="C515" s="156">
        <v>60.0</v>
      </c>
      <c r="D515" s="156">
        <v>24.1157184185149</v>
      </c>
    </row>
    <row r="516" ht="15.75" customHeight="1">
      <c r="A516" s="156">
        <v>2020.0</v>
      </c>
      <c r="B516" s="156" t="s">
        <v>134</v>
      </c>
      <c r="C516" s="156">
        <v>65.0</v>
      </c>
      <c r="D516" s="156">
        <v>22.106075216972</v>
      </c>
    </row>
    <row r="517" ht="15.75" customHeight="1">
      <c r="A517" s="156">
        <v>2020.0</v>
      </c>
      <c r="B517" s="156" t="s">
        <v>134</v>
      </c>
      <c r="C517" s="156">
        <v>70.0</v>
      </c>
      <c r="D517" s="156">
        <v>14.0675024108004</v>
      </c>
    </row>
    <row r="518" ht="15.75" customHeight="1">
      <c r="A518" s="156">
        <v>2020.0</v>
      </c>
      <c r="B518" s="156" t="s">
        <v>134</v>
      </c>
      <c r="C518" s="156">
        <v>75.0</v>
      </c>
      <c r="D518" s="156">
        <v>4.01928640308582</v>
      </c>
    </row>
    <row r="519" ht="15.75" customHeight="1">
      <c r="A519" s="156">
        <v>2020.0</v>
      </c>
      <c r="B519" s="156" t="s">
        <v>134</v>
      </c>
      <c r="C519" s="156">
        <v>80.0</v>
      </c>
      <c r="D519" s="156">
        <v>4.01928640308582</v>
      </c>
    </row>
    <row r="520" ht="15.75" customHeight="1">
      <c r="A520" s="156">
        <v>2021.0</v>
      </c>
      <c r="B520" s="156" t="s">
        <v>134</v>
      </c>
      <c r="C520" s="156">
        <v>0.0</v>
      </c>
      <c r="D520" s="156">
        <v>1.00240384615385</v>
      </c>
    </row>
    <row r="521" ht="15.75" customHeight="1">
      <c r="A521" s="156">
        <v>2021.0</v>
      </c>
      <c r="B521" s="156" t="s">
        <v>134</v>
      </c>
      <c r="C521" s="156">
        <v>1.0</v>
      </c>
      <c r="D521" s="156">
        <v>2.00480769230769</v>
      </c>
    </row>
    <row r="522" ht="15.75" customHeight="1">
      <c r="A522" s="156">
        <v>2021.0</v>
      </c>
      <c r="B522" s="156" t="s">
        <v>134</v>
      </c>
      <c r="C522" s="156">
        <v>5.0</v>
      </c>
      <c r="D522" s="156">
        <v>1.00240384615385</v>
      </c>
    </row>
    <row r="523" ht="15.75" customHeight="1">
      <c r="A523" s="156">
        <v>2021.0</v>
      </c>
      <c r="B523" s="156" t="s">
        <v>134</v>
      </c>
      <c r="C523" s="156">
        <v>10.0</v>
      </c>
      <c r="D523" s="156">
        <v>3.00721153846154</v>
      </c>
    </row>
    <row r="524" ht="15.75" customHeight="1">
      <c r="A524" s="156">
        <v>2021.0</v>
      </c>
      <c r="B524" s="156" t="s">
        <v>134</v>
      </c>
      <c r="C524" s="156">
        <v>15.0</v>
      </c>
      <c r="D524" s="156">
        <v>36.0865384615385</v>
      </c>
    </row>
    <row r="525" ht="15.75" customHeight="1">
      <c r="A525" s="156">
        <v>2021.0</v>
      </c>
      <c r="B525" s="156" t="s">
        <v>134</v>
      </c>
      <c r="C525" s="156">
        <v>20.0</v>
      </c>
      <c r="D525" s="156">
        <v>106.254807692308</v>
      </c>
    </row>
    <row r="526" ht="15.75" customHeight="1">
      <c r="A526" s="156">
        <v>2021.0</v>
      </c>
      <c r="B526" s="156" t="s">
        <v>134</v>
      </c>
      <c r="C526" s="156">
        <v>25.0</v>
      </c>
      <c r="D526" s="156">
        <v>116.278846153846</v>
      </c>
    </row>
    <row r="527" ht="15.75" customHeight="1">
      <c r="A527" s="156">
        <v>2021.0</v>
      </c>
      <c r="B527" s="156" t="s">
        <v>134</v>
      </c>
      <c r="C527" s="156">
        <v>30.0</v>
      </c>
      <c r="D527" s="156">
        <v>139.334134615385</v>
      </c>
    </row>
    <row r="528" ht="15.75" customHeight="1">
      <c r="A528" s="156">
        <v>2021.0</v>
      </c>
      <c r="B528" s="156" t="s">
        <v>134</v>
      </c>
      <c r="C528" s="156">
        <v>35.0</v>
      </c>
      <c r="D528" s="156">
        <v>94.2259615384615</v>
      </c>
    </row>
    <row r="529" ht="15.75" customHeight="1">
      <c r="A529" s="156">
        <v>2021.0</v>
      </c>
      <c r="B529" s="156" t="s">
        <v>134</v>
      </c>
      <c r="C529" s="156">
        <v>40.0</v>
      </c>
      <c r="D529" s="156">
        <v>88.2115384615385</v>
      </c>
    </row>
    <row r="530" ht="15.75" customHeight="1">
      <c r="A530" s="156">
        <v>2021.0</v>
      </c>
      <c r="B530" s="156" t="s">
        <v>134</v>
      </c>
      <c r="C530" s="156">
        <v>45.0</v>
      </c>
      <c r="D530" s="156">
        <v>69.1658653846154</v>
      </c>
    </row>
    <row r="531" ht="15.75" customHeight="1">
      <c r="A531" s="156">
        <v>2021.0</v>
      </c>
      <c r="B531" s="156" t="s">
        <v>134</v>
      </c>
      <c r="C531" s="156">
        <v>50.0</v>
      </c>
      <c r="D531" s="156">
        <v>68.1634615384615</v>
      </c>
    </row>
    <row r="532" ht="15.75" customHeight="1">
      <c r="A532" s="156">
        <v>2021.0</v>
      </c>
      <c r="B532" s="156" t="s">
        <v>134</v>
      </c>
      <c r="C532" s="156">
        <v>55.0</v>
      </c>
      <c r="D532" s="156">
        <v>42.1009615384615</v>
      </c>
    </row>
    <row r="533" ht="15.75" customHeight="1">
      <c r="A533" s="156">
        <v>2021.0</v>
      </c>
      <c r="B533" s="156" t="s">
        <v>134</v>
      </c>
      <c r="C533" s="156">
        <v>60.0</v>
      </c>
      <c r="D533" s="156">
        <v>28.0673076923077</v>
      </c>
    </row>
    <row r="534" ht="15.75" customHeight="1">
      <c r="A534" s="156">
        <v>2021.0</v>
      </c>
      <c r="B534" s="156" t="s">
        <v>134</v>
      </c>
      <c r="C534" s="156">
        <v>65.0</v>
      </c>
      <c r="D534" s="156">
        <v>18.0432692307692</v>
      </c>
    </row>
    <row r="535" ht="15.75" customHeight="1">
      <c r="A535" s="156">
        <v>2021.0</v>
      </c>
      <c r="B535" s="156" t="s">
        <v>134</v>
      </c>
      <c r="C535" s="156">
        <v>70.0</v>
      </c>
      <c r="D535" s="156">
        <v>13.03125</v>
      </c>
    </row>
    <row r="536" ht="15.75" customHeight="1">
      <c r="A536" s="156">
        <v>2021.0</v>
      </c>
      <c r="B536" s="156" t="s">
        <v>134</v>
      </c>
      <c r="C536" s="156">
        <v>75.0</v>
      </c>
      <c r="D536" s="156">
        <v>5.01201923076923</v>
      </c>
    </row>
    <row r="537" ht="15.75" customHeight="1">
      <c r="A537" s="156">
        <v>2021.0</v>
      </c>
      <c r="B537" s="156" t="s">
        <v>134</v>
      </c>
      <c r="C537" s="156">
        <v>80.0</v>
      </c>
      <c r="D537" s="156">
        <v>1.00240384615385</v>
      </c>
    </row>
    <row r="538" ht="15.75" customHeight="1">
      <c r="A538" s="156">
        <v>2021.0</v>
      </c>
      <c r="B538" s="156" t="s">
        <v>134</v>
      </c>
      <c r="C538" s="156">
        <v>85.0</v>
      </c>
      <c r="D538" s="156">
        <v>2.00480769230769</v>
      </c>
    </row>
    <row r="539" ht="15.75" customHeight="1">
      <c r="A539" s="156">
        <v>2023.0</v>
      </c>
      <c r="B539" s="156" t="s">
        <v>134</v>
      </c>
      <c r="C539" s="156">
        <v>1.0</v>
      </c>
      <c r="D539" s="156" t="s">
        <v>131</v>
      </c>
    </row>
    <row r="540" ht="15.75" customHeight="1">
      <c r="A540" s="156">
        <v>2023.0</v>
      </c>
      <c r="B540" s="156" t="s">
        <v>134</v>
      </c>
      <c r="C540" s="156">
        <v>5.0</v>
      </c>
      <c r="D540" s="156" t="s">
        <v>131</v>
      </c>
    </row>
    <row r="541" ht="15.75" customHeight="1">
      <c r="A541" s="156">
        <v>2023.0</v>
      </c>
      <c r="B541" s="156" t="s">
        <v>134</v>
      </c>
      <c r="C541" s="156">
        <v>10.0</v>
      </c>
      <c r="D541" s="156" t="s">
        <v>131</v>
      </c>
    </row>
    <row r="542" ht="15.75" customHeight="1">
      <c r="A542" s="156">
        <v>2023.0</v>
      </c>
      <c r="B542" s="156" t="s">
        <v>134</v>
      </c>
      <c r="C542" s="156">
        <v>15.0</v>
      </c>
      <c r="D542" s="156" t="s">
        <v>131</v>
      </c>
    </row>
    <row r="543" ht="15.75" customHeight="1">
      <c r="A543" s="156">
        <v>2023.0</v>
      </c>
      <c r="B543" s="156" t="s">
        <v>134</v>
      </c>
      <c r="C543" s="156">
        <v>20.0</v>
      </c>
      <c r="D543" s="156" t="s">
        <v>131</v>
      </c>
    </row>
    <row r="544" ht="15.75" customHeight="1">
      <c r="A544" s="156">
        <v>2023.0</v>
      </c>
      <c r="B544" s="156" t="s">
        <v>134</v>
      </c>
      <c r="C544" s="156">
        <v>25.0</v>
      </c>
      <c r="D544" s="156" t="s">
        <v>131</v>
      </c>
    </row>
    <row r="545" ht="15.75" customHeight="1">
      <c r="A545" s="156">
        <v>2023.0</v>
      </c>
      <c r="B545" s="156" t="s">
        <v>134</v>
      </c>
      <c r="C545" s="156">
        <v>30.0</v>
      </c>
      <c r="D545" s="156" t="s">
        <v>131</v>
      </c>
    </row>
    <row r="546" ht="15.75" customHeight="1">
      <c r="A546" s="156">
        <v>2023.0</v>
      </c>
      <c r="B546" s="156" t="s">
        <v>134</v>
      </c>
      <c r="C546" s="156">
        <v>35.0</v>
      </c>
      <c r="D546" s="156" t="s">
        <v>131</v>
      </c>
    </row>
    <row r="547" ht="15.75" customHeight="1">
      <c r="A547" s="156">
        <v>2023.0</v>
      </c>
      <c r="B547" s="156" t="s">
        <v>134</v>
      </c>
      <c r="C547" s="156">
        <v>40.0</v>
      </c>
      <c r="D547" s="156" t="s">
        <v>131</v>
      </c>
    </row>
    <row r="548" ht="15.75" customHeight="1">
      <c r="A548" s="156">
        <v>2023.0</v>
      </c>
      <c r="B548" s="156" t="s">
        <v>134</v>
      </c>
      <c r="C548" s="156">
        <v>45.0</v>
      </c>
      <c r="D548" s="156" t="s">
        <v>131</v>
      </c>
    </row>
    <row r="549" ht="15.75" customHeight="1">
      <c r="A549" s="156">
        <v>2023.0</v>
      </c>
      <c r="B549" s="156" t="s">
        <v>134</v>
      </c>
      <c r="C549" s="156">
        <v>50.0</v>
      </c>
      <c r="D549" s="156" t="s">
        <v>131</v>
      </c>
    </row>
    <row r="550" ht="15.75" customHeight="1">
      <c r="A550" s="156">
        <v>2023.0</v>
      </c>
      <c r="B550" s="156" t="s">
        <v>134</v>
      </c>
      <c r="C550" s="156">
        <v>55.0</v>
      </c>
      <c r="D550" s="156" t="s">
        <v>131</v>
      </c>
    </row>
    <row r="551" ht="15.75" customHeight="1">
      <c r="A551" s="156">
        <v>2023.0</v>
      </c>
      <c r="B551" s="156" t="s">
        <v>134</v>
      </c>
      <c r="C551" s="156">
        <v>60.0</v>
      </c>
      <c r="D551" s="156" t="s">
        <v>131</v>
      </c>
    </row>
    <row r="552" ht="15.75" customHeight="1">
      <c r="A552" s="156">
        <v>2023.0</v>
      </c>
      <c r="B552" s="156" t="s">
        <v>134</v>
      </c>
      <c r="C552" s="156">
        <v>65.0</v>
      </c>
      <c r="D552" s="156" t="s">
        <v>131</v>
      </c>
    </row>
    <row r="553" ht="15.75" customHeight="1">
      <c r="A553" s="156">
        <v>2023.0</v>
      </c>
      <c r="B553" s="156" t="s">
        <v>134</v>
      </c>
      <c r="C553" s="156">
        <v>70.0</v>
      </c>
      <c r="D553" s="156" t="s">
        <v>131</v>
      </c>
    </row>
    <row r="554" ht="15.75" customHeight="1">
      <c r="A554" s="156">
        <v>2023.0</v>
      </c>
      <c r="B554" s="156" t="s">
        <v>134</v>
      </c>
      <c r="C554" s="156">
        <v>75.0</v>
      </c>
      <c r="D554" s="156" t="s">
        <v>131</v>
      </c>
    </row>
    <row r="555" ht="15.75" customHeight="1">
      <c r="A555" s="156">
        <v>2023.0</v>
      </c>
      <c r="B555" s="156" t="s">
        <v>134</v>
      </c>
      <c r="C555" s="156">
        <v>80.0</v>
      </c>
      <c r="D555" s="156" t="s">
        <v>131</v>
      </c>
    </row>
    <row r="556" ht="15.75" customHeight="1">
      <c r="A556" s="156">
        <v>2023.0</v>
      </c>
      <c r="B556" s="156" t="s">
        <v>134</v>
      </c>
      <c r="C556" s="156">
        <v>85.0</v>
      </c>
      <c r="D556" s="156" t="s">
        <v>131</v>
      </c>
    </row>
    <row r="557" ht="15.75" customHeight="1">
      <c r="A557" s="156">
        <v>2024.0</v>
      </c>
      <c r="B557" s="156" t="s">
        <v>134</v>
      </c>
      <c r="C557" s="156">
        <v>1.0</v>
      </c>
      <c r="D557" s="156">
        <v>1.0014409221902</v>
      </c>
    </row>
    <row r="558" ht="15.75" customHeight="1">
      <c r="A558" s="156">
        <v>2024.0</v>
      </c>
      <c r="B558" s="156" t="s">
        <v>134</v>
      </c>
      <c r="C558" s="156">
        <v>5.0</v>
      </c>
      <c r="D558" s="156">
        <v>1.0014409221902</v>
      </c>
    </row>
    <row r="559" ht="15.75" customHeight="1">
      <c r="A559" s="156">
        <v>2024.0</v>
      </c>
      <c r="B559" s="156" t="s">
        <v>134</v>
      </c>
      <c r="C559" s="156">
        <v>10.0</v>
      </c>
      <c r="D559" s="156">
        <v>4.00576368876081</v>
      </c>
    </row>
    <row r="560" ht="15.75" customHeight="1">
      <c r="A560" s="156">
        <v>2024.0</v>
      </c>
      <c r="B560" s="156" t="s">
        <v>134</v>
      </c>
      <c r="C560" s="156">
        <v>15.0</v>
      </c>
      <c r="D560" s="156">
        <v>32.0461095100865</v>
      </c>
    </row>
    <row r="561" ht="15.75" customHeight="1">
      <c r="A561" s="156">
        <v>2024.0</v>
      </c>
      <c r="B561" s="156" t="s">
        <v>134</v>
      </c>
      <c r="C561" s="156">
        <v>20.0</v>
      </c>
      <c r="D561" s="156">
        <v>86.1239193083573</v>
      </c>
    </row>
    <row r="562" ht="15.75" customHeight="1">
      <c r="A562" s="156">
        <v>2024.0</v>
      </c>
      <c r="B562" s="156" t="s">
        <v>134</v>
      </c>
      <c r="C562" s="156">
        <v>25.0</v>
      </c>
      <c r="D562" s="156">
        <v>114.164265129683</v>
      </c>
    </row>
    <row r="563" ht="15.75" customHeight="1">
      <c r="A563" s="156">
        <v>2024.0</v>
      </c>
      <c r="B563" s="156" t="s">
        <v>134</v>
      </c>
      <c r="C563" s="156">
        <v>30.0</v>
      </c>
      <c r="D563" s="156">
        <v>92.1325648414986</v>
      </c>
    </row>
    <row r="564" ht="15.75" customHeight="1">
      <c r="A564" s="156">
        <v>2024.0</v>
      </c>
      <c r="B564" s="156" t="s">
        <v>134</v>
      </c>
      <c r="C564" s="156">
        <v>35.0</v>
      </c>
      <c r="D564" s="156">
        <v>94.135446685879</v>
      </c>
    </row>
    <row r="565" ht="15.75" customHeight="1">
      <c r="A565" s="156">
        <v>2024.0</v>
      </c>
      <c r="B565" s="156" t="s">
        <v>134</v>
      </c>
      <c r="C565" s="156">
        <v>40.0</v>
      </c>
      <c r="D565" s="156">
        <v>76.1095100864553</v>
      </c>
    </row>
    <row r="566" ht="15.75" customHeight="1">
      <c r="A566" s="156">
        <v>2024.0</v>
      </c>
      <c r="B566" s="156" t="s">
        <v>134</v>
      </c>
      <c r="C566" s="156">
        <v>45.0</v>
      </c>
      <c r="D566" s="156">
        <v>68.0979827089337</v>
      </c>
    </row>
    <row r="567" ht="15.75" customHeight="1">
      <c r="A567" s="156">
        <v>2024.0</v>
      </c>
      <c r="B567" s="156" t="s">
        <v>134</v>
      </c>
      <c r="C567" s="156">
        <v>50.0</v>
      </c>
      <c r="D567" s="156">
        <v>42.0605187319885</v>
      </c>
    </row>
    <row r="568" ht="15.75" customHeight="1">
      <c r="A568" s="156">
        <v>2024.0</v>
      </c>
      <c r="B568" s="156" t="s">
        <v>134</v>
      </c>
      <c r="C568" s="156">
        <v>55.0</v>
      </c>
      <c r="D568" s="156">
        <v>30.0432276657061</v>
      </c>
    </row>
    <row r="569" ht="15.75" customHeight="1">
      <c r="A569" s="156">
        <v>2024.0</v>
      </c>
      <c r="B569" s="156" t="s">
        <v>134</v>
      </c>
      <c r="C569" s="156">
        <v>60.0</v>
      </c>
      <c r="D569" s="156">
        <v>26.0374639769452</v>
      </c>
    </row>
    <row r="570" ht="15.75" customHeight="1">
      <c r="A570" s="156">
        <v>2024.0</v>
      </c>
      <c r="B570" s="156" t="s">
        <v>134</v>
      </c>
      <c r="C570" s="156">
        <v>65.0</v>
      </c>
      <c r="D570" s="156">
        <v>9.01296829971182</v>
      </c>
    </row>
    <row r="571" ht="15.75" customHeight="1">
      <c r="A571" s="156">
        <v>2024.0</v>
      </c>
      <c r="B571" s="156" t="s">
        <v>134</v>
      </c>
      <c r="C571" s="156">
        <v>70.0</v>
      </c>
      <c r="D571" s="156">
        <v>10.014409221902</v>
      </c>
    </row>
    <row r="572" ht="15.75" customHeight="1">
      <c r="A572" s="156">
        <v>2024.0</v>
      </c>
      <c r="B572" s="156" t="s">
        <v>134</v>
      </c>
      <c r="C572" s="156">
        <v>75.0</v>
      </c>
      <c r="D572" s="156">
        <v>6.00864553314121</v>
      </c>
    </row>
    <row r="573" ht="15.75" customHeight="1">
      <c r="A573" s="156">
        <v>2024.0</v>
      </c>
      <c r="B573" s="156" t="s">
        <v>134</v>
      </c>
      <c r="C573" s="156">
        <v>80.0</v>
      </c>
      <c r="D573" s="156">
        <v>2.0028818443804</v>
      </c>
    </row>
    <row r="574" ht="15.75" customHeight="1">
      <c r="A574" s="156">
        <v>2024.0</v>
      </c>
      <c r="B574" s="156" t="s">
        <v>134</v>
      </c>
      <c r="C574" s="156">
        <v>85.0</v>
      </c>
      <c r="D574" s="156">
        <v>1.0014409221902</v>
      </c>
    </row>
    <row r="575" ht="15.75" customHeight="1">
      <c r="A575" s="156">
        <v>1990.0</v>
      </c>
      <c r="B575" s="156" t="s">
        <v>135</v>
      </c>
      <c r="C575" s="156">
        <v>0.0</v>
      </c>
      <c r="D575" s="156">
        <v>0.0</v>
      </c>
    </row>
    <row r="576" ht="15.75" customHeight="1">
      <c r="A576" s="156">
        <v>1990.0</v>
      </c>
      <c r="B576" s="156" t="s">
        <v>135</v>
      </c>
      <c r="C576" s="156">
        <v>1.0</v>
      </c>
      <c r="D576" s="156">
        <v>2.06242061331882</v>
      </c>
    </row>
    <row r="577" ht="15.75" customHeight="1">
      <c r="A577" s="156">
        <v>1990.0</v>
      </c>
      <c r="B577" s="156" t="s">
        <v>135</v>
      </c>
      <c r="C577" s="156">
        <v>5.0</v>
      </c>
      <c r="D577" s="156">
        <v>1.03121030665941</v>
      </c>
    </row>
    <row r="578" ht="15.75" customHeight="1">
      <c r="A578" s="156">
        <v>1990.0</v>
      </c>
      <c r="B578" s="156" t="s">
        <v>135</v>
      </c>
      <c r="C578" s="156">
        <v>10.0</v>
      </c>
      <c r="D578" s="156">
        <v>3.09363091997823</v>
      </c>
    </row>
    <row r="579" ht="15.75" customHeight="1">
      <c r="A579" s="156">
        <v>1990.0</v>
      </c>
      <c r="B579" s="156" t="s">
        <v>135</v>
      </c>
      <c r="C579" s="156">
        <v>15.0</v>
      </c>
      <c r="D579" s="156">
        <v>4.12484122663763</v>
      </c>
    </row>
    <row r="580" ht="15.75" customHeight="1">
      <c r="A580" s="156">
        <v>1990.0</v>
      </c>
      <c r="B580" s="156" t="s">
        <v>135</v>
      </c>
      <c r="C580" s="156">
        <v>20.0</v>
      </c>
      <c r="D580" s="156">
        <v>8.24968245327527</v>
      </c>
    </row>
    <row r="581" ht="15.75" customHeight="1">
      <c r="A581" s="156">
        <v>1990.0</v>
      </c>
      <c r="B581" s="156" t="s">
        <v>135</v>
      </c>
      <c r="C581" s="156">
        <v>25.0</v>
      </c>
      <c r="D581" s="156">
        <v>11.3433133732535</v>
      </c>
    </row>
    <row r="582" ht="15.75" customHeight="1">
      <c r="A582" s="156">
        <v>1990.0</v>
      </c>
      <c r="B582" s="156" t="s">
        <v>135</v>
      </c>
      <c r="C582" s="156">
        <v>30.0</v>
      </c>
      <c r="D582" s="156">
        <v>7.30240786925093</v>
      </c>
    </row>
    <row r="583" ht="15.75" customHeight="1">
      <c r="A583" s="156">
        <v>1990.0</v>
      </c>
      <c r="B583" s="156" t="s">
        <v>135</v>
      </c>
      <c r="C583" s="156">
        <v>35.0</v>
      </c>
      <c r="D583" s="156">
        <v>5.15605153329704</v>
      </c>
    </row>
    <row r="584" ht="15.75" customHeight="1">
      <c r="A584" s="156">
        <v>1990.0</v>
      </c>
      <c r="B584" s="156" t="s">
        <v>135</v>
      </c>
      <c r="C584" s="156">
        <v>40.0</v>
      </c>
      <c r="D584" s="156">
        <v>1.03121030665941</v>
      </c>
    </row>
    <row r="585" ht="15.75" customHeight="1">
      <c r="A585" s="156">
        <v>1990.0</v>
      </c>
      <c r="B585" s="156" t="s">
        <v>135</v>
      </c>
      <c r="C585" s="156">
        <v>45.0</v>
      </c>
      <c r="D585" s="156">
        <v>6.18726183995645</v>
      </c>
    </row>
    <row r="586" ht="15.75" customHeight="1">
      <c r="A586" s="156">
        <v>1990.0</v>
      </c>
      <c r="B586" s="156" t="s">
        <v>135</v>
      </c>
      <c r="C586" s="156">
        <v>50.0</v>
      </c>
      <c r="D586" s="156">
        <v>4.12484122663763</v>
      </c>
    </row>
    <row r="587" ht="15.75" customHeight="1">
      <c r="A587" s="156">
        <v>1990.0</v>
      </c>
      <c r="B587" s="156" t="s">
        <v>135</v>
      </c>
      <c r="C587" s="156">
        <v>55.0</v>
      </c>
      <c r="D587" s="156">
        <v>2.06242061331882</v>
      </c>
    </row>
    <row r="588" ht="15.75" customHeight="1">
      <c r="A588" s="156">
        <v>1990.0</v>
      </c>
      <c r="B588" s="156" t="s">
        <v>135</v>
      </c>
      <c r="C588" s="156">
        <v>60.0</v>
      </c>
      <c r="D588" s="156">
        <v>3.09363091997823</v>
      </c>
    </row>
    <row r="589" ht="15.75" customHeight="1">
      <c r="A589" s="156">
        <v>1990.0</v>
      </c>
      <c r="B589" s="156" t="s">
        <v>135</v>
      </c>
      <c r="C589" s="156">
        <v>65.0</v>
      </c>
      <c r="D589" s="156">
        <v>1.03121030665941</v>
      </c>
    </row>
    <row r="590" ht="15.75" customHeight="1">
      <c r="A590" s="156">
        <v>1990.0</v>
      </c>
      <c r="B590" s="156" t="s">
        <v>135</v>
      </c>
      <c r="C590" s="156">
        <v>70.0</v>
      </c>
      <c r="D590" s="156">
        <v>2.06242061331882</v>
      </c>
    </row>
    <row r="591" ht="15.75" customHeight="1">
      <c r="A591" s="156">
        <v>1990.0</v>
      </c>
      <c r="B591" s="156" t="s">
        <v>135</v>
      </c>
      <c r="C591" s="156">
        <v>75.0</v>
      </c>
      <c r="D591" s="156">
        <v>2.06242061331882</v>
      </c>
    </row>
    <row r="592" ht="15.75" customHeight="1">
      <c r="A592" s="156">
        <v>1990.0</v>
      </c>
      <c r="B592" s="156" t="s">
        <v>135</v>
      </c>
      <c r="C592" s="156">
        <v>80.0</v>
      </c>
      <c r="D592" s="156">
        <v>0.0</v>
      </c>
    </row>
    <row r="593" ht="15.75" customHeight="1">
      <c r="A593" s="156">
        <v>1990.0</v>
      </c>
      <c r="B593" s="156" t="s">
        <v>135</v>
      </c>
      <c r="C593" s="156">
        <v>85.0</v>
      </c>
      <c r="D593" s="156">
        <v>2.06242061331882</v>
      </c>
    </row>
    <row r="594" ht="15.75" customHeight="1">
      <c r="A594" s="156">
        <v>1991.0</v>
      </c>
      <c r="B594" s="156" t="s">
        <v>135</v>
      </c>
      <c r="C594" s="156">
        <v>0.0</v>
      </c>
      <c r="D594" s="156">
        <v>1.0</v>
      </c>
    </row>
    <row r="595" ht="15.75" customHeight="1">
      <c r="A595" s="156">
        <v>1991.0</v>
      </c>
      <c r="B595" s="156" t="s">
        <v>135</v>
      </c>
      <c r="C595" s="156">
        <v>1.0</v>
      </c>
      <c r="D595" s="156">
        <v>2.0</v>
      </c>
    </row>
    <row r="596" ht="15.75" customHeight="1">
      <c r="A596" s="156">
        <v>1991.0</v>
      </c>
      <c r="B596" s="156" t="s">
        <v>135</v>
      </c>
      <c r="C596" s="156">
        <v>5.0</v>
      </c>
      <c r="D596" s="156">
        <v>1.0</v>
      </c>
    </row>
    <row r="597" ht="15.75" customHeight="1">
      <c r="A597" s="156">
        <v>1991.0</v>
      </c>
      <c r="B597" s="156" t="s">
        <v>135</v>
      </c>
      <c r="C597" s="156">
        <v>10.0</v>
      </c>
      <c r="D597" s="156">
        <v>3.0</v>
      </c>
    </row>
    <row r="598" ht="15.75" customHeight="1">
      <c r="A598" s="156">
        <v>1991.0</v>
      </c>
      <c r="B598" s="156" t="s">
        <v>135</v>
      </c>
      <c r="C598" s="156">
        <v>15.0</v>
      </c>
      <c r="D598" s="156">
        <v>9.0</v>
      </c>
    </row>
    <row r="599" ht="15.75" customHeight="1">
      <c r="A599" s="156">
        <v>1991.0</v>
      </c>
      <c r="B599" s="156" t="s">
        <v>135</v>
      </c>
      <c r="C599" s="156">
        <v>20.0</v>
      </c>
      <c r="D599" s="156">
        <v>7.0</v>
      </c>
    </row>
    <row r="600" ht="15.75" customHeight="1">
      <c r="A600" s="156">
        <v>1991.0</v>
      </c>
      <c r="B600" s="156" t="s">
        <v>135</v>
      </c>
      <c r="C600" s="156">
        <v>25.0</v>
      </c>
      <c r="D600" s="156">
        <v>13.0</v>
      </c>
    </row>
    <row r="601" ht="15.75" customHeight="1">
      <c r="A601" s="156">
        <v>1991.0</v>
      </c>
      <c r="B601" s="156" t="s">
        <v>135</v>
      </c>
      <c r="C601" s="156">
        <v>30.0</v>
      </c>
      <c r="D601" s="156">
        <v>5.0</v>
      </c>
    </row>
    <row r="602" ht="15.75" customHeight="1">
      <c r="A602" s="156">
        <v>1991.0</v>
      </c>
      <c r="B602" s="156" t="s">
        <v>135</v>
      </c>
      <c r="C602" s="156">
        <v>35.0</v>
      </c>
      <c r="D602" s="156">
        <v>6.0</v>
      </c>
    </row>
    <row r="603" ht="15.75" customHeight="1">
      <c r="A603" s="156">
        <v>1991.0</v>
      </c>
      <c r="B603" s="156" t="s">
        <v>135</v>
      </c>
      <c r="C603" s="156">
        <v>40.0</v>
      </c>
      <c r="D603" s="156">
        <v>1.0</v>
      </c>
    </row>
    <row r="604" ht="15.75" customHeight="1">
      <c r="A604" s="156">
        <v>1991.0</v>
      </c>
      <c r="B604" s="156" t="s">
        <v>135</v>
      </c>
      <c r="C604" s="156">
        <v>45.0</v>
      </c>
      <c r="D604" s="156">
        <v>6.0</v>
      </c>
    </row>
    <row r="605" ht="15.75" customHeight="1">
      <c r="A605" s="156">
        <v>1991.0</v>
      </c>
      <c r="B605" s="156" t="s">
        <v>135</v>
      </c>
      <c r="C605" s="156">
        <v>50.0</v>
      </c>
      <c r="D605" s="156">
        <v>0.0</v>
      </c>
    </row>
    <row r="606" ht="15.75" customHeight="1">
      <c r="A606" s="156">
        <v>1991.0</v>
      </c>
      <c r="B606" s="156" t="s">
        <v>135</v>
      </c>
      <c r="C606" s="156">
        <v>55.0</v>
      </c>
      <c r="D606" s="156">
        <v>5.0</v>
      </c>
    </row>
    <row r="607" ht="15.75" customHeight="1">
      <c r="A607" s="156">
        <v>1991.0</v>
      </c>
      <c r="B607" s="156" t="s">
        <v>135</v>
      </c>
      <c r="C607" s="156">
        <v>60.0</v>
      </c>
      <c r="D607" s="156">
        <v>0.0</v>
      </c>
    </row>
    <row r="608" ht="15.75" customHeight="1">
      <c r="A608" s="156">
        <v>1991.0</v>
      </c>
      <c r="B608" s="156" t="s">
        <v>135</v>
      </c>
      <c r="C608" s="156">
        <v>65.0</v>
      </c>
      <c r="D608" s="156">
        <v>2.0</v>
      </c>
    </row>
    <row r="609" ht="15.75" customHeight="1">
      <c r="A609" s="156">
        <v>1991.0</v>
      </c>
      <c r="B609" s="156" t="s">
        <v>135</v>
      </c>
      <c r="C609" s="156">
        <v>70.0</v>
      </c>
      <c r="D609" s="156">
        <v>1.0</v>
      </c>
    </row>
    <row r="610" ht="15.75" customHeight="1">
      <c r="A610" s="156">
        <v>1991.0</v>
      </c>
      <c r="B610" s="156" t="s">
        <v>135</v>
      </c>
      <c r="C610" s="156">
        <v>75.0</v>
      </c>
      <c r="D610" s="156">
        <v>2.0</v>
      </c>
    </row>
    <row r="611" ht="15.75" customHeight="1">
      <c r="A611" s="156">
        <v>1991.0</v>
      </c>
      <c r="B611" s="156" t="s">
        <v>135</v>
      </c>
      <c r="C611" s="156">
        <v>80.0</v>
      </c>
      <c r="D611" s="156">
        <v>0.0</v>
      </c>
    </row>
    <row r="612" ht="15.75" customHeight="1">
      <c r="A612" s="156">
        <v>1991.0</v>
      </c>
      <c r="B612" s="156" t="s">
        <v>135</v>
      </c>
      <c r="C612" s="156">
        <v>85.0</v>
      </c>
      <c r="D612" s="156">
        <v>5.0</v>
      </c>
    </row>
    <row r="613" ht="15.75" customHeight="1">
      <c r="A613" s="156">
        <v>1992.0</v>
      </c>
      <c r="B613" s="156" t="s">
        <v>135</v>
      </c>
      <c r="C613" s="156">
        <v>0.0</v>
      </c>
      <c r="D613" s="156">
        <v>0.0</v>
      </c>
    </row>
    <row r="614" ht="15.75" customHeight="1">
      <c r="A614" s="156">
        <v>1992.0</v>
      </c>
      <c r="B614" s="156" t="s">
        <v>135</v>
      </c>
      <c r="C614" s="156">
        <v>1.0</v>
      </c>
      <c r="D614" s="156">
        <v>1.01621037463977</v>
      </c>
    </row>
    <row r="615" ht="15.75" customHeight="1">
      <c r="A615" s="156">
        <v>1992.0</v>
      </c>
      <c r="B615" s="156" t="s">
        <v>135</v>
      </c>
      <c r="C615" s="156">
        <v>5.0</v>
      </c>
      <c r="D615" s="156">
        <v>2.03242074927954</v>
      </c>
    </row>
    <row r="616" ht="15.75" customHeight="1">
      <c r="A616" s="156">
        <v>1992.0</v>
      </c>
      <c r="B616" s="156" t="s">
        <v>135</v>
      </c>
      <c r="C616" s="156">
        <v>10.0</v>
      </c>
      <c r="D616" s="156">
        <v>2.03242074927954</v>
      </c>
    </row>
    <row r="617" ht="15.75" customHeight="1">
      <c r="A617" s="156">
        <v>1992.0</v>
      </c>
      <c r="B617" s="156" t="s">
        <v>135</v>
      </c>
      <c r="C617" s="156">
        <v>15.0</v>
      </c>
      <c r="D617" s="156">
        <v>6.09726224783862</v>
      </c>
    </row>
    <row r="618" ht="15.75" customHeight="1">
      <c r="A618" s="156">
        <v>1992.0</v>
      </c>
      <c r="B618" s="156" t="s">
        <v>135</v>
      </c>
      <c r="C618" s="156">
        <v>20.0</v>
      </c>
      <c r="D618" s="156">
        <v>12.1945244956772</v>
      </c>
    </row>
    <row r="619" ht="15.75" customHeight="1">
      <c r="A619" s="156">
        <v>1992.0</v>
      </c>
      <c r="B619" s="156" t="s">
        <v>135</v>
      </c>
      <c r="C619" s="156">
        <v>25.0</v>
      </c>
      <c r="D619" s="156">
        <v>7.11347262247839</v>
      </c>
    </row>
    <row r="620" ht="15.75" customHeight="1">
      <c r="A620" s="156">
        <v>1992.0</v>
      </c>
      <c r="B620" s="156" t="s">
        <v>135</v>
      </c>
      <c r="C620" s="156">
        <v>30.0</v>
      </c>
      <c r="D620" s="156">
        <v>3.04863112391931</v>
      </c>
    </row>
    <row r="621" ht="15.75" customHeight="1">
      <c r="A621" s="156">
        <v>1992.0</v>
      </c>
      <c r="B621" s="156" t="s">
        <v>135</v>
      </c>
      <c r="C621" s="156">
        <v>35.0</v>
      </c>
      <c r="D621" s="156">
        <v>7.11347262247839</v>
      </c>
    </row>
    <row r="622" ht="15.75" customHeight="1">
      <c r="A622" s="156">
        <v>1992.0</v>
      </c>
      <c r="B622" s="156" t="s">
        <v>135</v>
      </c>
      <c r="C622" s="156">
        <v>40.0</v>
      </c>
      <c r="D622" s="156">
        <v>6.1940441882805</v>
      </c>
    </row>
    <row r="623" ht="15.75" customHeight="1">
      <c r="A623" s="156">
        <v>1992.0</v>
      </c>
      <c r="B623" s="156" t="s">
        <v>135</v>
      </c>
      <c r="C623" s="156">
        <v>45.0</v>
      </c>
      <c r="D623" s="156">
        <v>4.06484149855908</v>
      </c>
    </row>
    <row r="624" ht="15.75" customHeight="1">
      <c r="A624" s="156">
        <v>1992.0</v>
      </c>
      <c r="B624" s="156" t="s">
        <v>135</v>
      </c>
      <c r="C624" s="156">
        <v>50.0</v>
      </c>
      <c r="D624" s="156">
        <v>4.06484149855908</v>
      </c>
    </row>
    <row r="625" ht="15.75" customHeight="1">
      <c r="A625" s="156">
        <v>1992.0</v>
      </c>
      <c r="B625" s="156" t="s">
        <v>135</v>
      </c>
      <c r="C625" s="156">
        <v>55.0</v>
      </c>
      <c r="D625" s="156">
        <v>3.04863112391931</v>
      </c>
    </row>
    <row r="626" ht="15.75" customHeight="1">
      <c r="A626" s="156">
        <v>1992.0</v>
      </c>
      <c r="B626" s="156" t="s">
        <v>135</v>
      </c>
      <c r="C626" s="156">
        <v>60.0</v>
      </c>
      <c r="D626" s="156">
        <v>2.03242074927954</v>
      </c>
    </row>
    <row r="627" ht="15.75" customHeight="1">
      <c r="A627" s="156">
        <v>1992.0</v>
      </c>
      <c r="B627" s="156" t="s">
        <v>135</v>
      </c>
      <c r="C627" s="156">
        <v>65.0</v>
      </c>
      <c r="D627" s="156">
        <v>2.03242074927954</v>
      </c>
    </row>
    <row r="628" ht="15.75" customHeight="1">
      <c r="A628" s="156">
        <v>1992.0</v>
      </c>
      <c r="B628" s="156" t="s">
        <v>135</v>
      </c>
      <c r="C628" s="156">
        <v>70.0</v>
      </c>
      <c r="D628" s="156">
        <v>2.03242074927954</v>
      </c>
    </row>
    <row r="629" ht="15.75" customHeight="1">
      <c r="A629" s="156">
        <v>1992.0</v>
      </c>
      <c r="B629" s="156" t="s">
        <v>135</v>
      </c>
      <c r="C629" s="156">
        <v>75.0</v>
      </c>
      <c r="D629" s="156">
        <v>2.03242074927954</v>
      </c>
    </row>
    <row r="630" ht="15.75" customHeight="1">
      <c r="A630" s="156">
        <v>1992.0</v>
      </c>
      <c r="B630" s="156" t="s">
        <v>135</v>
      </c>
      <c r="C630" s="156">
        <v>80.0</v>
      </c>
      <c r="D630" s="156">
        <v>1.01621037463977</v>
      </c>
    </row>
    <row r="631" ht="15.75" customHeight="1">
      <c r="A631" s="156">
        <v>1992.0</v>
      </c>
      <c r="B631" s="156" t="s">
        <v>135</v>
      </c>
      <c r="C631" s="156">
        <v>85.0</v>
      </c>
      <c r="D631" s="156">
        <v>0.0</v>
      </c>
    </row>
    <row r="632" ht="15.75" customHeight="1">
      <c r="A632" s="156">
        <v>1993.0</v>
      </c>
      <c r="B632" s="156" t="s">
        <v>135</v>
      </c>
      <c r="C632" s="156">
        <v>0.0</v>
      </c>
      <c r="D632" s="156">
        <v>0.0</v>
      </c>
    </row>
    <row r="633" ht="15.75" customHeight="1">
      <c r="A633" s="156">
        <v>1993.0</v>
      </c>
      <c r="B633" s="156" t="s">
        <v>135</v>
      </c>
      <c r="C633" s="156">
        <v>1.0</v>
      </c>
      <c r="D633" s="156">
        <v>2.0</v>
      </c>
    </row>
    <row r="634" ht="15.75" customHeight="1">
      <c r="A634" s="156">
        <v>1993.0</v>
      </c>
      <c r="B634" s="156" t="s">
        <v>135</v>
      </c>
      <c r="C634" s="156">
        <v>5.0</v>
      </c>
      <c r="D634" s="156">
        <v>2.0</v>
      </c>
    </row>
    <row r="635" ht="15.75" customHeight="1">
      <c r="A635" s="156">
        <v>1993.0</v>
      </c>
      <c r="B635" s="156" t="s">
        <v>135</v>
      </c>
      <c r="C635" s="156">
        <v>10.0</v>
      </c>
      <c r="D635" s="156">
        <v>2.0</v>
      </c>
    </row>
    <row r="636" ht="15.75" customHeight="1">
      <c r="A636" s="156">
        <v>1993.0</v>
      </c>
      <c r="B636" s="156" t="s">
        <v>135</v>
      </c>
      <c r="C636" s="156">
        <v>15.0</v>
      </c>
      <c r="D636" s="156">
        <v>13.0</v>
      </c>
    </row>
    <row r="637" ht="15.75" customHeight="1">
      <c r="A637" s="156">
        <v>1993.0</v>
      </c>
      <c r="B637" s="156" t="s">
        <v>135</v>
      </c>
      <c r="C637" s="156">
        <v>20.0</v>
      </c>
      <c r="D637" s="156">
        <v>9.0</v>
      </c>
    </row>
    <row r="638" ht="15.75" customHeight="1">
      <c r="A638" s="156">
        <v>1993.0</v>
      </c>
      <c r="B638" s="156" t="s">
        <v>135</v>
      </c>
      <c r="C638" s="156">
        <v>25.0</v>
      </c>
      <c r="D638" s="156">
        <v>6.0</v>
      </c>
    </row>
    <row r="639" ht="15.75" customHeight="1">
      <c r="A639" s="156">
        <v>1993.0</v>
      </c>
      <c r="B639" s="156" t="s">
        <v>135</v>
      </c>
      <c r="C639" s="156">
        <v>30.0</v>
      </c>
      <c r="D639" s="156">
        <v>6.0</v>
      </c>
    </row>
    <row r="640" ht="15.75" customHeight="1">
      <c r="A640" s="156">
        <v>1993.0</v>
      </c>
      <c r="B640" s="156" t="s">
        <v>135</v>
      </c>
      <c r="C640" s="156">
        <v>35.0</v>
      </c>
      <c r="D640" s="156">
        <v>4.0</v>
      </c>
    </row>
    <row r="641" ht="15.75" customHeight="1">
      <c r="A641" s="156">
        <v>1993.0</v>
      </c>
      <c r="B641" s="156" t="s">
        <v>135</v>
      </c>
      <c r="C641" s="156">
        <v>40.0</v>
      </c>
      <c r="D641" s="156">
        <v>3.0</v>
      </c>
    </row>
    <row r="642" ht="15.75" customHeight="1">
      <c r="A642" s="156">
        <v>1993.0</v>
      </c>
      <c r="B642" s="156" t="s">
        <v>135</v>
      </c>
      <c r="C642" s="156">
        <v>45.0</v>
      </c>
      <c r="D642" s="156">
        <v>1.0</v>
      </c>
    </row>
    <row r="643" ht="15.75" customHeight="1">
      <c r="A643" s="156">
        <v>1993.0</v>
      </c>
      <c r="B643" s="156" t="s">
        <v>135</v>
      </c>
      <c r="C643" s="156">
        <v>50.0</v>
      </c>
      <c r="D643" s="156">
        <v>1.0</v>
      </c>
    </row>
    <row r="644" ht="15.75" customHeight="1">
      <c r="A644" s="156">
        <v>1993.0</v>
      </c>
      <c r="B644" s="156" t="s">
        <v>135</v>
      </c>
      <c r="C644" s="156">
        <v>55.0</v>
      </c>
      <c r="D644" s="156">
        <v>2.0</v>
      </c>
    </row>
    <row r="645" ht="15.75" customHeight="1">
      <c r="A645" s="156">
        <v>1993.0</v>
      </c>
      <c r="B645" s="156" t="s">
        <v>135</v>
      </c>
      <c r="C645" s="156">
        <v>60.0</v>
      </c>
      <c r="D645" s="156">
        <v>1.0</v>
      </c>
    </row>
    <row r="646" ht="15.75" customHeight="1">
      <c r="A646" s="156">
        <v>1993.0</v>
      </c>
      <c r="B646" s="156" t="s">
        <v>135</v>
      </c>
      <c r="C646" s="156">
        <v>65.0</v>
      </c>
      <c r="D646" s="156">
        <v>0.0</v>
      </c>
    </row>
    <row r="647" ht="15.75" customHeight="1">
      <c r="A647" s="156">
        <v>1993.0</v>
      </c>
      <c r="B647" s="156" t="s">
        <v>135</v>
      </c>
      <c r="C647" s="156">
        <v>70.0</v>
      </c>
      <c r="D647" s="156">
        <v>1.0</v>
      </c>
    </row>
    <row r="648" ht="15.75" customHeight="1">
      <c r="A648" s="156">
        <v>1993.0</v>
      </c>
      <c r="B648" s="156" t="s">
        <v>135</v>
      </c>
      <c r="C648" s="156">
        <v>75.0</v>
      </c>
      <c r="D648" s="156">
        <v>0.0</v>
      </c>
    </row>
    <row r="649" ht="15.75" customHeight="1">
      <c r="A649" s="156">
        <v>1993.0</v>
      </c>
      <c r="B649" s="156" t="s">
        <v>135</v>
      </c>
      <c r="C649" s="156">
        <v>80.0</v>
      </c>
      <c r="D649" s="156">
        <v>1.0</v>
      </c>
    </row>
    <row r="650" ht="15.75" customHeight="1">
      <c r="A650" s="156">
        <v>1993.0</v>
      </c>
      <c r="B650" s="156" t="s">
        <v>135</v>
      </c>
      <c r="C650" s="156">
        <v>85.0</v>
      </c>
      <c r="D650" s="156">
        <v>2.0</v>
      </c>
    </row>
    <row r="651" ht="15.75" customHeight="1">
      <c r="A651" s="156">
        <v>1994.0</v>
      </c>
      <c r="B651" s="156" t="s">
        <v>135</v>
      </c>
      <c r="C651" s="156">
        <v>0.0</v>
      </c>
      <c r="D651" s="156">
        <v>2.07843137254902</v>
      </c>
    </row>
    <row r="652" ht="15.75" customHeight="1">
      <c r="A652" s="156">
        <v>1994.0</v>
      </c>
      <c r="B652" s="156" t="s">
        <v>135</v>
      </c>
      <c r="C652" s="156">
        <v>5.0</v>
      </c>
      <c r="D652" s="156">
        <v>2.07843137254902</v>
      </c>
    </row>
    <row r="653" ht="15.75" customHeight="1">
      <c r="A653" s="156">
        <v>1994.0</v>
      </c>
      <c r="B653" s="156" t="s">
        <v>135</v>
      </c>
      <c r="C653" s="156">
        <v>10.0</v>
      </c>
      <c r="D653" s="156">
        <v>2.07843137254902</v>
      </c>
    </row>
    <row r="654" ht="15.75" customHeight="1">
      <c r="A654" s="156">
        <v>1994.0</v>
      </c>
      <c r="B654" s="156" t="s">
        <v>135</v>
      </c>
      <c r="C654" s="156">
        <v>15.0</v>
      </c>
      <c r="D654" s="156">
        <v>5.19607843137255</v>
      </c>
    </row>
    <row r="655" ht="15.75" customHeight="1">
      <c r="A655" s="156">
        <v>1994.0</v>
      </c>
      <c r="B655" s="156" t="s">
        <v>135</v>
      </c>
      <c r="C655" s="156">
        <v>20.0</v>
      </c>
      <c r="D655" s="156">
        <v>7.27450980392157</v>
      </c>
    </row>
    <row r="656" ht="15.75" customHeight="1">
      <c r="A656" s="156">
        <v>1994.0</v>
      </c>
      <c r="B656" s="156" t="s">
        <v>135</v>
      </c>
      <c r="C656" s="156">
        <v>25.0</v>
      </c>
      <c r="D656" s="156">
        <v>2.07843137254902</v>
      </c>
    </row>
    <row r="657" ht="15.75" customHeight="1">
      <c r="A657" s="156">
        <v>1994.0</v>
      </c>
      <c r="B657" s="156" t="s">
        <v>135</v>
      </c>
      <c r="C657" s="156">
        <v>30.0</v>
      </c>
      <c r="D657" s="156">
        <v>4.15686274509804</v>
      </c>
    </row>
    <row r="658" ht="15.75" customHeight="1">
      <c r="A658" s="156">
        <v>1994.0</v>
      </c>
      <c r="B658" s="156" t="s">
        <v>135</v>
      </c>
      <c r="C658" s="156">
        <v>35.0</v>
      </c>
      <c r="D658" s="156">
        <v>8.31372549019608</v>
      </c>
    </row>
    <row r="659" ht="15.75" customHeight="1">
      <c r="A659" s="156">
        <v>1994.0</v>
      </c>
      <c r="B659" s="156" t="s">
        <v>135</v>
      </c>
      <c r="C659" s="156">
        <v>40.0</v>
      </c>
      <c r="D659" s="156">
        <v>8.31372549019608</v>
      </c>
    </row>
    <row r="660" ht="15.75" customHeight="1">
      <c r="A660" s="156">
        <v>1994.0</v>
      </c>
      <c r="B660" s="156" t="s">
        <v>135</v>
      </c>
      <c r="C660" s="156">
        <v>45.0</v>
      </c>
      <c r="D660" s="156">
        <v>2.07843137254902</v>
      </c>
    </row>
    <row r="661" ht="15.75" customHeight="1">
      <c r="A661" s="156">
        <v>1994.0</v>
      </c>
      <c r="B661" s="156" t="s">
        <v>135</v>
      </c>
      <c r="C661" s="156">
        <v>50.0</v>
      </c>
      <c r="D661" s="156">
        <v>2.07843137254902</v>
      </c>
    </row>
    <row r="662" ht="15.75" customHeight="1">
      <c r="A662" s="156">
        <v>1994.0</v>
      </c>
      <c r="B662" s="156" t="s">
        <v>135</v>
      </c>
      <c r="C662" s="156">
        <v>55.0</v>
      </c>
      <c r="D662" s="156">
        <v>2.07843137254902</v>
      </c>
    </row>
    <row r="663" ht="15.75" customHeight="1">
      <c r="A663" s="156">
        <v>1994.0</v>
      </c>
      <c r="B663" s="156" t="s">
        <v>135</v>
      </c>
      <c r="C663" s="156">
        <v>60.0</v>
      </c>
      <c r="D663" s="156">
        <v>0.0</v>
      </c>
    </row>
    <row r="664" ht="15.75" customHeight="1">
      <c r="A664" s="156">
        <v>1994.0</v>
      </c>
      <c r="B664" s="156" t="s">
        <v>135</v>
      </c>
      <c r="C664" s="156">
        <v>65.0</v>
      </c>
      <c r="D664" s="156">
        <v>2.07843137254902</v>
      </c>
    </row>
    <row r="665" ht="15.75" customHeight="1">
      <c r="A665" s="156">
        <v>1994.0</v>
      </c>
      <c r="B665" s="156" t="s">
        <v>135</v>
      </c>
      <c r="C665" s="156">
        <v>70.0</v>
      </c>
      <c r="D665" s="156">
        <v>0.0</v>
      </c>
    </row>
    <row r="666" ht="15.75" customHeight="1">
      <c r="A666" s="156">
        <v>1994.0</v>
      </c>
      <c r="B666" s="156" t="s">
        <v>135</v>
      </c>
      <c r="C666" s="156">
        <v>75.0</v>
      </c>
      <c r="D666" s="156">
        <v>2.07843137254902</v>
      </c>
    </row>
    <row r="667" ht="15.75" customHeight="1">
      <c r="A667" s="156">
        <v>1994.0</v>
      </c>
      <c r="B667" s="156" t="s">
        <v>135</v>
      </c>
      <c r="C667" s="156">
        <v>80.0</v>
      </c>
      <c r="D667" s="156">
        <v>1.03921568627451</v>
      </c>
    </row>
    <row r="668" ht="15.75" customHeight="1">
      <c r="A668" s="156">
        <v>1994.0</v>
      </c>
      <c r="B668" s="156" t="s">
        <v>135</v>
      </c>
      <c r="C668" s="156">
        <v>85.0</v>
      </c>
      <c r="D668" s="156">
        <v>0.0</v>
      </c>
    </row>
    <row r="669" ht="15.75" customHeight="1">
      <c r="A669" s="156">
        <v>1995.0</v>
      </c>
      <c r="B669" s="156" t="s">
        <v>135</v>
      </c>
      <c r="C669" s="156">
        <v>1.0</v>
      </c>
      <c r="D669" s="156">
        <v>1.03879310344828</v>
      </c>
    </row>
    <row r="670" ht="15.75" customHeight="1">
      <c r="A670" s="156">
        <v>1995.0</v>
      </c>
      <c r="B670" s="156" t="s">
        <v>135</v>
      </c>
      <c r="C670" s="156">
        <v>5.0</v>
      </c>
      <c r="D670" s="156">
        <v>1.03879310344828</v>
      </c>
    </row>
    <row r="671" ht="15.75" customHeight="1">
      <c r="A671" s="156">
        <v>1995.0</v>
      </c>
      <c r="B671" s="156" t="s">
        <v>135</v>
      </c>
      <c r="C671" s="156">
        <v>10.0</v>
      </c>
      <c r="D671" s="156">
        <v>3.11637931034483</v>
      </c>
    </row>
    <row r="672" ht="15.75" customHeight="1">
      <c r="A672" s="156">
        <v>1995.0</v>
      </c>
      <c r="B672" s="156" t="s">
        <v>135</v>
      </c>
      <c r="C672" s="156">
        <v>15.0</v>
      </c>
      <c r="D672" s="156">
        <v>8.31034482758621</v>
      </c>
    </row>
    <row r="673" ht="15.75" customHeight="1">
      <c r="A673" s="156">
        <v>1995.0</v>
      </c>
      <c r="B673" s="156" t="s">
        <v>135</v>
      </c>
      <c r="C673" s="156">
        <v>20.0</v>
      </c>
      <c r="D673" s="156">
        <v>8.31034482758621</v>
      </c>
    </row>
    <row r="674" ht="15.75" customHeight="1">
      <c r="A674" s="156">
        <v>1995.0</v>
      </c>
      <c r="B674" s="156" t="s">
        <v>135</v>
      </c>
      <c r="C674" s="156">
        <v>25.0</v>
      </c>
      <c r="D674" s="156">
        <v>6.23275862068965</v>
      </c>
    </row>
    <row r="675" ht="15.75" customHeight="1">
      <c r="A675" s="156">
        <v>1995.0</v>
      </c>
      <c r="B675" s="156" t="s">
        <v>135</v>
      </c>
      <c r="C675" s="156">
        <v>30.0</v>
      </c>
      <c r="D675" s="156">
        <v>7.27155172413793</v>
      </c>
    </row>
    <row r="676" ht="15.75" customHeight="1">
      <c r="A676" s="156">
        <v>1995.0</v>
      </c>
      <c r="B676" s="156" t="s">
        <v>135</v>
      </c>
      <c r="C676" s="156">
        <v>35.0</v>
      </c>
      <c r="D676" s="156">
        <v>3.11637931034483</v>
      </c>
    </row>
    <row r="677" ht="15.75" customHeight="1">
      <c r="A677" s="156">
        <v>1995.0</v>
      </c>
      <c r="B677" s="156" t="s">
        <v>135</v>
      </c>
      <c r="C677" s="156">
        <v>40.0</v>
      </c>
      <c r="D677" s="156">
        <v>4.1551724137931</v>
      </c>
    </row>
    <row r="678" ht="15.75" customHeight="1">
      <c r="A678" s="156">
        <v>1995.0</v>
      </c>
      <c r="B678" s="156" t="s">
        <v>135</v>
      </c>
      <c r="C678" s="156">
        <v>45.0</v>
      </c>
      <c r="D678" s="156">
        <v>2.07758620689655</v>
      </c>
    </row>
    <row r="679" ht="15.75" customHeight="1">
      <c r="A679" s="156">
        <v>1995.0</v>
      </c>
      <c r="B679" s="156" t="s">
        <v>135</v>
      </c>
      <c r="C679" s="156">
        <v>50.0</v>
      </c>
      <c r="D679" s="156">
        <v>5.19396551724138</v>
      </c>
    </row>
    <row r="680" ht="15.75" customHeight="1">
      <c r="A680" s="156">
        <v>1995.0</v>
      </c>
      <c r="B680" s="156" t="s">
        <v>135</v>
      </c>
      <c r="C680" s="156">
        <v>55.0</v>
      </c>
      <c r="D680" s="156">
        <v>4.1551724137931</v>
      </c>
    </row>
    <row r="681" ht="15.75" customHeight="1">
      <c r="A681" s="156">
        <v>1995.0</v>
      </c>
      <c r="B681" s="156" t="s">
        <v>135</v>
      </c>
      <c r="C681" s="156">
        <v>60.0</v>
      </c>
      <c r="D681" s="156">
        <v>1.03879310344828</v>
      </c>
    </row>
    <row r="682" ht="15.75" customHeight="1">
      <c r="A682" s="156">
        <v>1995.0</v>
      </c>
      <c r="B682" s="156" t="s">
        <v>135</v>
      </c>
      <c r="C682" s="156">
        <v>65.0</v>
      </c>
      <c r="D682" s="156">
        <v>1.03879310344828</v>
      </c>
    </row>
    <row r="683" ht="15.75" customHeight="1">
      <c r="A683" s="156">
        <v>1995.0</v>
      </c>
      <c r="B683" s="156" t="s">
        <v>135</v>
      </c>
      <c r="C683" s="156">
        <v>70.0</v>
      </c>
      <c r="D683" s="156">
        <v>1.03879310344828</v>
      </c>
    </row>
    <row r="684" ht="15.75" customHeight="1">
      <c r="A684" s="156">
        <v>1995.0</v>
      </c>
      <c r="B684" s="156" t="s">
        <v>135</v>
      </c>
      <c r="C684" s="156">
        <v>75.0</v>
      </c>
      <c r="D684" s="156">
        <v>2.07758620689655</v>
      </c>
    </row>
    <row r="685" ht="15.75" customHeight="1">
      <c r="A685" s="156">
        <v>1995.0</v>
      </c>
      <c r="B685" s="156" t="s">
        <v>135</v>
      </c>
      <c r="C685" s="156">
        <v>80.0</v>
      </c>
      <c r="D685" s="156">
        <v>0.0</v>
      </c>
    </row>
    <row r="686" ht="15.75" customHeight="1">
      <c r="A686" s="156">
        <v>1995.0</v>
      </c>
      <c r="B686" s="156" t="s">
        <v>135</v>
      </c>
      <c r="C686" s="156">
        <v>85.0</v>
      </c>
      <c r="D686" s="156">
        <v>1.03879310344828</v>
      </c>
    </row>
    <row r="687" ht="15.75" customHeight="1">
      <c r="A687" s="156">
        <v>1996.0</v>
      </c>
      <c r="B687" s="156" t="s">
        <v>135</v>
      </c>
      <c r="C687" s="156">
        <v>0.0</v>
      </c>
      <c r="D687" s="156">
        <v>0.0</v>
      </c>
    </row>
    <row r="688" ht="15.75" customHeight="1">
      <c r="A688" s="156">
        <v>1996.0</v>
      </c>
      <c r="B688" s="156" t="s">
        <v>135</v>
      </c>
      <c r="C688" s="156">
        <v>1.0</v>
      </c>
      <c r="D688" s="156">
        <v>2.09090909090909</v>
      </c>
    </row>
    <row r="689" ht="15.75" customHeight="1">
      <c r="A689" s="156">
        <v>1996.0</v>
      </c>
      <c r="B689" s="156" t="s">
        <v>135</v>
      </c>
      <c r="C689" s="156">
        <v>10.0</v>
      </c>
      <c r="D689" s="156">
        <v>1.04545454545455</v>
      </c>
    </row>
    <row r="690" ht="15.75" customHeight="1">
      <c r="A690" s="156">
        <v>1996.0</v>
      </c>
      <c r="B690" s="156" t="s">
        <v>135</v>
      </c>
      <c r="C690" s="156">
        <v>15.0</v>
      </c>
      <c r="D690" s="156">
        <v>5.22727272727273</v>
      </c>
    </row>
    <row r="691" ht="15.75" customHeight="1">
      <c r="A691" s="156">
        <v>1996.0</v>
      </c>
      <c r="B691" s="156" t="s">
        <v>135</v>
      </c>
      <c r="C691" s="156">
        <v>20.0</v>
      </c>
      <c r="D691" s="156">
        <v>6.27272727272727</v>
      </c>
    </row>
    <row r="692" ht="15.75" customHeight="1">
      <c r="A692" s="156">
        <v>1996.0</v>
      </c>
      <c r="B692" s="156" t="s">
        <v>135</v>
      </c>
      <c r="C692" s="156">
        <v>25.0</v>
      </c>
      <c r="D692" s="156">
        <v>5.22727272727273</v>
      </c>
    </row>
    <row r="693" ht="15.75" customHeight="1">
      <c r="A693" s="156">
        <v>1996.0</v>
      </c>
      <c r="B693" s="156" t="s">
        <v>135</v>
      </c>
      <c r="C693" s="156">
        <v>30.0</v>
      </c>
      <c r="D693" s="156">
        <v>6.27272727272727</v>
      </c>
    </row>
    <row r="694" ht="15.75" customHeight="1">
      <c r="A694" s="156">
        <v>1996.0</v>
      </c>
      <c r="B694" s="156" t="s">
        <v>135</v>
      </c>
      <c r="C694" s="156">
        <v>35.0</v>
      </c>
      <c r="D694" s="156">
        <v>2.09090909090909</v>
      </c>
    </row>
    <row r="695" ht="15.75" customHeight="1">
      <c r="A695" s="156">
        <v>1996.0</v>
      </c>
      <c r="B695" s="156" t="s">
        <v>135</v>
      </c>
      <c r="C695" s="156">
        <v>40.0</v>
      </c>
      <c r="D695" s="156">
        <v>2.09090909090909</v>
      </c>
    </row>
    <row r="696" ht="15.75" customHeight="1">
      <c r="A696" s="156">
        <v>1996.0</v>
      </c>
      <c r="B696" s="156" t="s">
        <v>135</v>
      </c>
      <c r="C696" s="156">
        <v>45.0</v>
      </c>
      <c r="D696" s="156">
        <v>5.22727272727273</v>
      </c>
    </row>
    <row r="697" ht="15.75" customHeight="1">
      <c r="A697" s="156">
        <v>1996.0</v>
      </c>
      <c r="B697" s="156" t="s">
        <v>135</v>
      </c>
      <c r="C697" s="156">
        <v>50.0</v>
      </c>
      <c r="D697" s="156">
        <v>0.0</v>
      </c>
    </row>
    <row r="698" ht="15.75" customHeight="1">
      <c r="A698" s="156">
        <v>1996.0</v>
      </c>
      <c r="B698" s="156" t="s">
        <v>135</v>
      </c>
      <c r="C698" s="156">
        <v>55.0</v>
      </c>
      <c r="D698" s="156">
        <v>2.09090909090909</v>
      </c>
    </row>
    <row r="699" ht="15.75" customHeight="1">
      <c r="A699" s="156">
        <v>1996.0</v>
      </c>
      <c r="B699" s="156" t="s">
        <v>135</v>
      </c>
      <c r="C699" s="156">
        <v>60.0</v>
      </c>
      <c r="D699" s="156">
        <v>0.0</v>
      </c>
    </row>
    <row r="700" ht="15.75" customHeight="1">
      <c r="A700" s="156">
        <v>1996.0</v>
      </c>
      <c r="B700" s="156" t="s">
        <v>135</v>
      </c>
      <c r="C700" s="156">
        <v>65.0</v>
      </c>
      <c r="D700" s="156">
        <v>1.04545454545455</v>
      </c>
    </row>
    <row r="701" ht="15.75" customHeight="1">
      <c r="A701" s="156">
        <v>1996.0</v>
      </c>
      <c r="B701" s="156" t="s">
        <v>135</v>
      </c>
      <c r="C701" s="156">
        <v>70.0</v>
      </c>
      <c r="D701" s="156">
        <v>2.09090909090909</v>
      </c>
    </row>
    <row r="702" ht="15.75" customHeight="1">
      <c r="A702" s="156">
        <v>1996.0</v>
      </c>
      <c r="B702" s="156" t="s">
        <v>135</v>
      </c>
      <c r="C702" s="156">
        <v>75.0</v>
      </c>
      <c r="D702" s="156">
        <v>2.09090909090909</v>
      </c>
    </row>
    <row r="703" ht="15.75" customHeight="1">
      <c r="A703" s="156">
        <v>1996.0</v>
      </c>
      <c r="B703" s="156" t="s">
        <v>135</v>
      </c>
      <c r="C703" s="156">
        <v>80.0</v>
      </c>
      <c r="D703" s="156">
        <v>2.09090909090909</v>
      </c>
    </row>
    <row r="704" ht="15.75" customHeight="1">
      <c r="A704" s="156">
        <v>1996.0</v>
      </c>
      <c r="B704" s="156" t="s">
        <v>135</v>
      </c>
      <c r="C704" s="156">
        <v>85.0</v>
      </c>
      <c r="D704" s="156">
        <v>1.04545454545455</v>
      </c>
    </row>
    <row r="705" ht="15.75" customHeight="1">
      <c r="A705" s="156">
        <v>1997.0</v>
      </c>
      <c r="B705" s="156" t="s">
        <v>135</v>
      </c>
      <c r="C705" s="156">
        <v>0.0</v>
      </c>
      <c r="D705" s="156">
        <v>3.04545454545455</v>
      </c>
    </row>
    <row r="706" ht="15.75" customHeight="1">
      <c r="A706" s="156">
        <v>1997.0</v>
      </c>
      <c r="B706" s="156" t="s">
        <v>135</v>
      </c>
      <c r="C706" s="156">
        <v>1.0</v>
      </c>
      <c r="D706" s="156">
        <v>0.0</v>
      </c>
    </row>
    <row r="707" ht="15.75" customHeight="1">
      <c r="A707" s="156">
        <v>1997.0</v>
      </c>
      <c r="B707" s="156" t="s">
        <v>135</v>
      </c>
      <c r="C707" s="156">
        <v>5.0</v>
      </c>
      <c r="D707" s="156">
        <v>1.01515151515152</v>
      </c>
    </row>
    <row r="708" ht="15.75" customHeight="1">
      <c r="A708" s="156">
        <v>1997.0</v>
      </c>
      <c r="B708" s="156" t="s">
        <v>135</v>
      </c>
      <c r="C708" s="156">
        <v>10.0</v>
      </c>
      <c r="D708" s="156">
        <v>3.04545454545455</v>
      </c>
    </row>
    <row r="709" ht="15.75" customHeight="1">
      <c r="A709" s="156">
        <v>1997.0</v>
      </c>
      <c r="B709" s="156" t="s">
        <v>135</v>
      </c>
      <c r="C709" s="156">
        <v>15.0</v>
      </c>
      <c r="D709" s="156">
        <v>6.09090909090909</v>
      </c>
    </row>
    <row r="710" ht="15.75" customHeight="1">
      <c r="A710" s="156">
        <v>1997.0</v>
      </c>
      <c r="B710" s="156" t="s">
        <v>135</v>
      </c>
      <c r="C710" s="156">
        <v>20.0</v>
      </c>
      <c r="D710" s="156">
        <v>4.06060606060606</v>
      </c>
    </row>
    <row r="711" ht="15.75" customHeight="1">
      <c r="A711" s="156">
        <v>1997.0</v>
      </c>
      <c r="B711" s="156" t="s">
        <v>135</v>
      </c>
      <c r="C711" s="156">
        <v>25.0</v>
      </c>
      <c r="D711" s="156">
        <v>5.07575757575758</v>
      </c>
    </row>
    <row r="712" ht="15.75" customHeight="1">
      <c r="A712" s="156">
        <v>1997.0</v>
      </c>
      <c r="B712" s="156" t="s">
        <v>135</v>
      </c>
      <c r="C712" s="156">
        <v>30.0</v>
      </c>
      <c r="D712" s="156">
        <v>14.2121212121212</v>
      </c>
    </row>
    <row r="713" ht="15.75" customHeight="1">
      <c r="A713" s="156">
        <v>1997.0</v>
      </c>
      <c r="B713" s="156" t="s">
        <v>135</v>
      </c>
      <c r="C713" s="156">
        <v>35.0</v>
      </c>
      <c r="D713" s="156">
        <v>7.10606060606061</v>
      </c>
    </row>
    <row r="714" ht="15.75" customHeight="1">
      <c r="A714" s="156">
        <v>1997.0</v>
      </c>
      <c r="B714" s="156" t="s">
        <v>135</v>
      </c>
      <c r="C714" s="156">
        <v>40.0</v>
      </c>
      <c r="D714" s="156">
        <v>8.12121212121212</v>
      </c>
    </row>
    <row r="715" ht="15.75" customHeight="1">
      <c r="A715" s="156">
        <v>1997.0</v>
      </c>
      <c r="B715" s="156" t="s">
        <v>135</v>
      </c>
      <c r="C715" s="156">
        <v>45.0</v>
      </c>
      <c r="D715" s="156">
        <v>2.03030303030303</v>
      </c>
    </row>
    <row r="716" ht="15.75" customHeight="1">
      <c r="A716" s="156">
        <v>1997.0</v>
      </c>
      <c r="B716" s="156" t="s">
        <v>135</v>
      </c>
      <c r="C716" s="156">
        <v>50.0</v>
      </c>
      <c r="D716" s="156">
        <v>1.01515151515152</v>
      </c>
    </row>
    <row r="717" ht="15.75" customHeight="1">
      <c r="A717" s="156">
        <v>1997.0</v>
      </c>
      <c r="B717" s="156" t="s">
        <v>135</v>
      </c>
      <c r="C717" s="156">
        <v>55.0</v>
      </c>
      <c r="D717" s="156">
        <v>4.06060606060606</v>
      </c>
    </row>
    <row r="718" ht="15.75" customHeight="1">
      <c r="A718" s="156">
        <v>1997.0</v>
      </c>
      <c r="B718" s="156" t="s">
        <v>135</v>
      </c>
      <c r="C718" s="156">
        <v>60.0</v>
      </c>
      <c r="D718" s="156">
        <v>4.06060606060606</v>
      </c>
    </row>
    <row r="719" ht="15.75" customHeight="1">
      <c r="A719" s="156">
        <v>1997.0</v>
      </c>
      <c r="B719" s="156" t="s">
        <v>135</v>
      </c>
      <c r="C719" s="156">
        <v>65.0</v>
      </c>
      <c r="D719" s="156">
        <v>2.03030303030303</v>
      </c>
    </row>
    <row r="720" ht="15.75" customHeight="1">
      <c r="A720" s="156">
        <v>1997.0</v>
      </c>
      <c r="B720" s="156" t="s">
        <v>135</v>
      </c>
      <c r="C720" s="156">
        <v>70.0</v>
      </c>
      <c r="D720" s="156">
        <v>0.0</v>
      </c>
    </row>
    <row r="721" ht="15.75" customHeight="1">
      <c r="A721" s="156">
        <v>1997.0</v>
      </c>
      <c r="B721" s="156" t="s">
        <v>135</v>
      </c>
      <c r="C721" s="156">
        <v>75.0</v>
      </c>
      <c r="D721" s="156">
        <v>0.0</v>
      </c>
    </row>
    <row r="722" ht="15.75" customHeight="1">
      <c r="A722" s="156">
        <v>1997.0</v>
      </c>
      <c r="B722" s="156" t="s">
        <v>135</v>
      </c>
      <c r="C722" s="156">
        <v>80.0</v>
      </c>
      <c r="D722" s="156">
        <v>0.0</v>
      </c>
    </row>
    <row r="723" ht="15.75" customHeight="1">
      <c r="A723" s="156">
        <v>1997.0</v>
      </c>
      <c r="B723" s="156" t="s">
        <v>135</v>
      </c>
      <c r="C723" s="156">
        <v>85.0</v>
      </c>
      <c r="D723" s="156">
        <v>2.03030303030303</v>
      </c>
    </row>
    <row r="724" ht="15.75" customHeight="1">
      <c r="A724" s="156">
        <v>1998.0</v>
      </c>
      <c r="B724" s="156" t="s">
        <v>135</v>
      </c>
      <c r="C724" s="156">
        <v>1.0</v>
      </c>
      <c r="D724" s="156">
        <v>1.02173913043478</v>
      </c>
    </row>
    <row r="725" ht="15.75" customHeight="1">
      <c r="A725" s="156">
        <v>1998.0</v>
      </c>
      <c r="B725" s="156" t="s">
        <v>135</v>
      </c>
      <c r="C725" s="156">
        <v>5.0</v>
      </c>
      <c r="D725" s="156">
        <v>1.02173913043478</v>
      </c>
    </row>
    <row r="726" ht="15.75" customHeight="1">
      <c r="A726" s="156">
        <v>1998.0</v>
      </c>
      <c r="B726" s="156" t="s">
        <v>135</v>
      </c>
      <c r="C726" s="156">
        <v>10.0</v>
      </c>
      <c r="D726" s="156">
        <v>1.02173913043478</v>
      </c>
    </row>
    <row r="727" ht="15.75" customHeight="1">
      <c r="A727" s="156">
        <v>1998.0</v>
      </c>
      <c r="B727" s="156" t="s">
        <v>135</v>
      </c>
      <c r="C727" s="156">
        <v>15.0</v>
      </c>
      <c r="D727" s="156">
        <v>4.08695652173913</v>
      </c>
    </row>
    <row r="728" ht="15.75" customHeight="1">
      <c r="A728" s="156">
        <v>1998.0</v>
      </c>
      <c r="B728" s="156" t="s">
        <v>135</v>
      </c>
      <c r="C728" s="156">
        <v>20.0</v>
      </c>
      <c r="D728" s="156">
        <v>4.08695652173913</v>
      </c>
    </row>
    <row r="729" ht="15.75" customHeight="1">
      <c r="A729" s="156">
        <v>1998.0</v>
      </c>
      <c r="B729" s="156" t="s">
        <v>135</v>
      </c>
      <c r="C729" s="156">
        <v>25.0</v>
      </c>
      <c r="D729" s="156">
        <v>6.1304347826087</v>
      </c>
    </row>
    <row r="730" ht="15.75" customHeight="1">
      <c r="A730" s="156">
        <v>1998.0</v>
      </c>
      <c r="B730" s="156" t="s">
        <v>135</v>
      </c>
      <c r="C730" s="156">
        <v>30.0</v>
      </c>
      <c r="D730" s="156">
        <v>5.10869565217391</v>
      </c>
    </row>
    <row r="731" ht="15.75" customHeight="1">
      <c r="A731" s="156">
        <v>1998.0</v>
      </c>
      <c r="B731" s="156" t="s">
        <v>135</v>
      </c>
      <c r="C731" s="156">
        <v>35.0</v>
      </c>
      <c r="D731" s="156">
        <v>3.06521739130435</v>
      </c>
    </row>
    <row r="732" ht="15.75" customHeight="1">
      <c r="A732" s="156">
        <v>1998.0</v>
      </c>
      <c r="B732" s="156" t="s">
        <v>135</v>
      </c>
      <c r="C732" s="156">
        <v>40.0</v>
      </c>
      <c r="D732" s="156">
        <v>3.06521739130435</v>
      </c>
    </row>
    <row r="733" ht="15.75" customHeight="1">
      <c r="A733" s="156">
        <v>1998.0</v>
      </c>
      <c r="B733" s="156" t="s">
        <v>135</v>
      </c>
      <c r="C733" s="156">
        <v>45.0</v>
      </c>
      <c r="D733" s="156">
        <v>3.06521739130435</v>
      </c>
    </row>
    <row r="734" ht="15.75" customHeight="1">
      <c r="A734" s="156">
        <v>1998.0</v>
      </c>
      <c r="B734" s="156" t="s">
        <v>135</v>
      </c>
      <c r="C734" s="156">
        <v>50.0</v>
      </c>
      <c r="D734" s="156">
        <v>5.10869565217391</v>
      </c>
    </row>
    <row r="735" ht="15.75" customHeight="1">
      <c r="A735" s="156">
        <v>1998.0</v>
      </c>
      <c r="B735" s="156" t="s">
        <v>135</v>
      </c>
      <c r="C735" s="156">
        <v>55.0</v>
      </c>
      <c r="D735" s="156">
        <v>2.04347826086957</v>
      </c>
    </row>
    <row r="736" ht="15.75" customHeight="1">
      <c r="A736" s="156">
        <v>1998.0</v>
      </c>
      <c r="B736" s="156" t="s">
        <v>135</v>
      </c>
      <c r="C736" s="156">
        <v>60.0</v>
      </c>
      <c r="D736" s="156">
        <v>1.02173913043478</v>
      </c>
    </row>
    <row r="737" ht="15.75" customHeight="1">
      <c r="A737" s="156">
        <v>1998.0</v>
      </c>
      <c r="B737" s="156" t="s">
        <v>135</v>
      </c>
      <c r="C737" s="156">
        <v>65.0</v>
      </c>
      <c r="D737" s="156">
        <v>2.04347826086957</v>
      </c>
    </row>
    <row r="738" ht="15.75" customHeight="1">
      <c r="A738" s="156">
        <v>1998.0</v>
      </c>
      <c r="B738" s="156" t="s">
        <v>135</v>
      </c>
      <c r="C738" s="156">
        <v>70.0</v>
      </c>
      <c r="D738" s="156">
        <v>1.02173913043478</v>
      </c>
    </row>
    <row r="739" ht="15.75" customHeight="1">
      <c r="A739" s="156">
        <v>1998.0</v>
      </c>
      <c r="B739" s="156" t="s">
        <v>135</v>
      </c>
      <c r="C739" s="156">
        <v>75.0</v>
      </c>
      <c r="D739" s="156">
        <v>3.06521739130435</v>
      </c>
    </row>
    <row r="740" ht="15.75" customHeight="1">
      <c r="A740" s="156">
        <v>1998.0</v>
      </c>
      <c r="B740" s="156" t="s">
        <v>135</v>
      </c>
      <c r="C740" s="156">
        <v>80.0</v>
      </c>
      <c r="D740" s="156">
        <v>0.0</v>
      </c>
    </row>
    <row r="741" ht="15.75" customHeight="1">
      <c r="A741" s="156">
        <v>1998.0</v>
      </c>
      <c r="B741" s="156" t="s">
        <v>135</v>
      </c>
      <c r="C741" s="156">
        <v>85.0</v>
      </c>
      <c r="D741" s="156">
        <v>1.02173913043478</v>
      </c>
    </row>
    <row r="742" ht="15.75" customHeight="1">
      <c r="A742" s="156">
        <v>1999.0</v>
      </c>
      <c r="B742" s="156" t="s">
        <v>135</v>
      </c>
      <c r="C742" s="156">
        <v>0.0</v>
      </c>
      <c r="D742" s="156">
        <v>1.0</v>
      </c>
    </row>
    <row r="743" ht="15.75" customHeight="1">
      <c r="A743" s="156">
        <v>1999.0</v>
      </c>
      <c r="B743" s="156" t="s">
        <v>135</v>
      </c>
      <c r="C743" s="156">
        <v>1.0</v>
      </c>
      <c r="D743" s="156">
        <v>0.0</v>
      </c>
    </row>
    <row r="744" ht="15.75" customHeight="1">
      <c r="A744" s="156">
        <v>1999.0</v>
      </c>
      <c r="B744" s="156" t="s">
        <v>135</v>
      </c>
      <c r="C744" s="156">
        <v>5.0</v>
      </c>
      <c r="D744" s="156">
        <v>3.0</v>
      </c>
    </row>
    <row r="745" ht="15.75" customHeight="1">
      <c r="A745" s="156">
        <v>1999.0</v>
      </c>
      <c r="B745" s="156" t="s">
        <v>135</v>
      </c>
      <c r="C745" s="156">
        <v>10.0</v>
      </c>
      <c r="D745" s="156">
        <v>3.0</v>
      </c>
    </row>
    <row r="746" ht="15.75" customHeight="1">
      <c r="A746" s="156">
        <v>1999.0</v>
      </c>
      <c r="B746" s="156" t="s">
        <v>135</v>
      </c>
      <c r="C746" s="156">
        <v>15.0</v>
      </c>
      <c r="D746" s="156">
        <v>2.0</v>
      </c>
    </row>
    <row r="747" ht="15.75" customHeight="1">
      <c r="A747" s="156">
        <v>1999.0</v>
      </c>
      <c r="B747" s="156" t="s">
        <v>135</v>
      </c>
      <c r="C747" s="156">
        <v>20.0</v>
      </c>
      <c r="D747" s="156">
        <v>5.0</v>
      </c>
    </row>
    <row r="748" ht="15.75" customHeight="1">
      <c r="A748" s="156">
        <v>1999.0</v>
      </c>
      <c r="B748" s="156" t="s">
        <v>135</v>
      </c>
      <c r="C748" s="156">
        <v>25.0</v>
      </c>
      <c r="D748" s="156">
        <v>2.0</v>
      </c>
    </row>
    <row r="749" ht="15.75" customHeight="1">
      <c r="A749" s="156">
        <v>1999.0</v>
      </c>
      <c r="B749" s="156" t="s">
        <v>135</v>
      </c>
      <c r="C749" s="156">
        <v>30.0</v>
      </c>
      <c r="D749" s="156">
        <v>4.0</v>
      </c>
    </row>
    <row r="750" ht="15.75" customHeight="1">
      <c r="A750" s="156">
        <v>1999.0</v>
      </c>
      <c r="B750" s="156" t="s">
        <v>135</v>
      </c>
      <c r="C750" s="156">
        <v>35.0</v>
      </c>
      <c r="D750" s="156">
        <v>5.0</v>
      </c>
    </row>
    <row r="751" ht="15.75" customHeight="1">
      <c r="A751" s="156">
        <v>1999.0</v>
      </c>
      <c r="B751" s="156" t="s">
        <v>135</v>
      </c>
      <c r="C751" s="156">
        <v>40.0</v>
      </c>
      <c r="D751" s="156">
        <v>5.0</v>
      </c>
    </row>
    <row r="752" ht="15.75" customHeight="1">
      <c r="A752" s="156">
        <v>1999.0</v>
      </c>
      <c r="B752" s="156" t="s">
        <v>135</v>
      </c>
      <c r="C752" s="156">
        <v>45.0</v>
      </c>
      <c r="D752" s="156">
        <v>5.0</v>
      </c>
    </row>
    <row r="753" ht="15.75" customHeight="1">
      <c r="A753" s="156">
        <v>1999.0</v>
      </c>
      <c r="B753" s="156" t="s">
        <v>135</v>
      </c>
      <c r="C753" s="156">
        <v>50.0</v>
      </c>
      <c r="D753" s="156">
        <v>6.0</v>
      </c>
    </row>
    <row r="754" ht="15.75" customHeight="1">
      <c r="A754" s="156">
        <v>1999.0</v>
      </c>
      <c r="B754" s="156" t="s">
        <v>135</v>
      </c>
      <c r="C754" s="156">
        <v>55.0</v>
      </c>
      <c r="D754" s="156">
        <v>2.0</v>
      </c>
    </row>
    <row r="755" ht="15.75" customHeight="1">
      <c r="A755" s="156">
        <v>1999.0</v>
      </c>
      <c r="B755" s="156" t="s">
        <v>135</v>
      </c>
      <c r="C755" s="156">
        <v>60.0</v>
      </c>
      <c r="D755" s="156">
        <v>1.0</v>
      </c>
    </row>
    <row r="756" ht="15.75" customHeight="1">
      <c r="A756" s="156">
        <v>1999.0</v>
      </c>
      <c r="B756" s="156" t="s">
        <v>135</v>
      </c>
      <c r="C756" s="156">
        <v>65.0</v>
      </c>
      <c r="D756" s="156">
        <v>3.0</v>
      </c>
    </row>
    <row r="757" ht="15.75" customHeight="1">
      <c r="A757" s="156">
        <v>1999.0</v>
      </c>
      <c r="B757" s="156" t="s">
        <v>135</v>
      </c>
      <c r="C757" s="156">
        <v>70.0</v>
      </c>
      <c r="D757" s="156">
        <v>1.0</v>
      </c>
    </row>
    <row r="758" ht="15.75" customHeight="1">
      <c r="A758" s="156">
        <v>1999.0</v>
      </c>
      <c r="B758" s="156" t="s">
        <v>135</v>
      </c>
      <c r="C758" s="156">
        <v>75.0</v>
      </c>
      <c r="D758" s="156">
        <v>1.0</v>
      </c>
    </row>
    <row r="759" ht="15.75" customHeight="1">
      <c r="A759" s="156">
        <v>1999.0</v>
      </c>
      <c r="B759" s="156" t="s">
        <v>135</v>
      </c>
      <c r="C759" s="156">
        <v>80.0</v>
      </c>
      <c r="D759" s="156">
        <v>1.0</v>
      </c>
    </row>
    <row r="760" ht="15.75" customHeight="1">
      <c r="A760" s="156">
        <v>1999.0</v>
      </c>
      <c r="B760" s="156" t="s">
        <v>135</v>
      </c>
      <c r="C760" s="156">
        <v>85.0</v>
      </c>
      <c r="D760" s="156">
        <v>1.0</v>
      </c>
    </row>
    <row r="761" ht="15.75" customHeight="1">
      <c r="A761" s="156">
        <v>2000.0</v>
      </c>
      <c r="B761" s="156" t="s">
        <v>135</v>
      </c>
      <c r="C761" s="156">
        <v>0.0</v>
      </c>
      <c r="D761" s="156">
        <v>0.0</v>
      </c>
    </row>
    <row r="762" ht="15.75" customHeight="1">
      <c r="A762" s="156">
        <v>2000.0</v>
      </c>
      <c r="B762" s="156" t="s">
        <v>135</v>
      </c>
      <c r="C762" s="156">
        <v>1.0</v>
      </c>
      <c r="D762" s="156">
        <v>0.0</v>
      </c>
    </row>
    <row r="763" ht="15.75" customHeight="1">
      <c r="A763" s="156">
        <v>2000.0</v>
      </c>
      <c r="B763" s="156" t="s">
        <v>135</v>
      </c>
      <c r="C763" s="156">
        <v>5.0</v>
      </c>
      <c r="D763" s="156">
        <v>4.08</v>
      </c>
    </row>
    <row r="764" ht="15.75" customHeight="1">
      <c r="A764" s="156">
        <v>2000.0</v>
      </c>
      <c r="B764" s="156" t="s">
        <v>135</v>
      </c>
      <c r="C764" s="156">
        <v>10.0</v>
      </c>
      <c r="D764" s="156">
        <v>3.06</v>
      </c>
    </row>
    <row r="765" ht="15.75" customHeight="1">
      <c r="A765" s="156">
        <v>2000.0</v>
      </c>
      <c r="B765" s="156" t="s">
        <v>135</v>
      </c>
      <c r="C765" s="156">
        <v>15.0</v>
      </c>
      <c r="D765" s="156">
        <v>9.18</v>
      </c>
    </row>
    <row r="766" ht="15.75" customHeight="1">
      <c r="A766" s="156">
        <v>2000.0</v>
      </c>
      <c r="B766" s="156" t="s">
        <v>135</v>
      </c>
      <c r="C766" s="156">
        <v>20.0</v>
      </c>
      <c r="D766" s="156">
        <v>5.1</v>
      </c>
    </row>
    <row r="767" ht="15.75" customHeight="1">
      <c r="A767" s="156">
        <v>2000.0</v>
      </c>
      <c r="B767" s="156" t="s">
        <v>135</v>
      </c>
      <c r="C767" s="156">
        <v>25.0</v>
      </c>
      <c r="D767" s="156">
        <v>5.1</v>
      </c>
    </row>
    <row r="768" ht="15.75" customHeight="1">
      <c r="A768" s="156">
        <v>2000.0</v>
      </c>
      <c r="B768" s="156" t="s">
        <v>135</v>
      </c>
      <c r="C768" s="156">
        <v>30.0</v>
      </c>
      <c r="D768" s="156">
        <v>8.16</v>
      </c>
    </row>
    <row r="769" ht="15.75" customHeight="1">
      <c r="A769" s="156">
        <v>2000.0</v>
      </c>
      <c r="B769" s="156" t="s">
        <v>135</v>
      </c>
      <c r="C769" s="156">
        <v>35.0</v>
      </c>
      <c r="D769" s="156">
        <v>2.04</v>
      </c>
    </row>
    <row r="770" ht="15.75" customHeight="1">
      <c r="A770" s="156">
        <v>2000.0</v>
      </c>
      <c r="B770" s="156" t="s">
        <v>135</v>
      </c>
      <c r="C770" s="156">
        <v>40.0</v>
      </c>
      <c r="D770" s="156">
        <v>1.02</v>
      </c>
    </row>
    <row r="771" ht="15.75" customHeight="1">
      <c r="A771" s="156">
        <v>2000.0</v>
      </c>
      <c r="B771" s="156" t="s">
        <v>135</v>
      </c>
      <c r="C771" s="156">
        <v>45.0</v>
      </c>
      <c r="D771" s="156">
        <v>0.0</v>
      </c>
    </row>
    <row r="772" ht="15.75" customHeight="1">
      <c r="A772" s="156">
        <v>2000.0</v>
      </c>
      <c r="B772" s="156" t="s">
        <v>135</v>
      </c>
      <c r="C772" s="156">
        <v>50.0</v>
      </c>
      <c r="D772" s="156">
        <v>5.1</v>
      </c>
    </row>
    <row r="773" ht="15.75" customHeight="1">
      <c r="A773" s="156">
        <v>2000.0</v>
      </c>
      <c r="B773" s="156" t="s">
        <v>135</v>
      </c>
      <c r="C773" s="156">
        <v>55.0</v>
      </c>
      <c r="D773" s="156">
        <v>3.06</v>
      </c>
    </row>
    <row r="774" ht="15.75" customHeight="1">
      <c r="A774" s="156">
        <v>2000.0</v>
      </c>
      <c r="B774" s="156" t="s">
        <v>135</v>
      </c>
      <c r="C774" s="156">
        <v>60.0</v>
      </c>
      <c r="D774" s="156">
        <v>1.02</v>
      </c>
    </row>
    <row r="775" ht="15.75" customHeight="1">
      <c r="A775" s="156">
        <v>2000.0</v>
      </c>
      <c r="B775" s="156" t="s">
        <v>135</v>
      </c>
      <c r="C775" s="156">
        <v>65.0</v>
      </c>
      <c r="D775" s="156">
        <v>2.04</v>
      </c>
    </row>
    <row r="776" ht="15.75" customHeight="1">
      <c r="A776" s="156">
        <v>2000.0</v>
      </c>
      <c r="B776" s="156" t="s">
        <v>135</v>
      </c>
      <c r="C776" s="156">
        <v>70.0</v>
      </c>
      <c r="D776" s="156">
        <v>0.0</v>
      </c>
    </row>
    <row r="777" ht="15.75" customHeight="1">
      <c r="A777" s="156">
        <v>2000.0</v>
      </c>
      <c r="B777" s="156" t="s">
        <v>135</v>
      </c>
      <c r="C777" s="156">
        <v>75.0</v>
      </c>
      <c r="D777" s="156">
        <v>1.02</v>
      </c>
    </row>
    <row r="778" ht="15.75" customHeight="1">
      <c r="A778" s="156">
        <v>2000.0</v>
      </c>
      <c r="B778" s="156" t="s">
        <v>135</v>
      </c>
      <c r="C778" s="156">
        <v>80.0</v>
      </c>
      <c r="D778" s="156">
        <v>1.02</v>
      </c>
    </row>
    <row r="779" ht="15.75" customHeight="1">
      <c r="A779" s="156">
        <v>2001.0</v>
      </c>
      <c r="B779" s="156" t="s">
        <v>135</v>
      </c>
      <c r="C779" s="156">
        <v>1.0</v>
      </c>
      <c r="D779" s="156">
        <v>1.01960784313725</v>
      </c>
    </row>
    <row r="780" ht="15.75" customHeight="1">
      <c r="A780" s="156">
        <v>2001.0</v>
      </c>
      <c r="B780" s="156" t="s">
        <v>135</v>
      </c>
      <c r="C780" s="156">
        <v>5.0</v>
      </c>
      <c r="D780" s="156">
        <v>1.01960784313725</v>
      </c>
    </row>
    <row r="781" ht="15.75" customHeight="1">
      <c r="A781" s="156">
        <v>2001.0</v>
      </c>
      <c r="B781" s="156" t="s">
        <v>135</v>
      </c>
      <c r="C781" s="156">
        <v>10.0</v>
      </c>
      <c r="D781" s="156">
        <v>1.01960784313725</v>
      </c>
    </row>
    <row r="782" ht="15.75" customHeight="1">
      <c r="A782" s="156">
        <v>2001.0</v>
      </c>
      <c r="B782" s="156" t="s">
        <v>135</v>
      </c>
      <c r="C782" s="156">
        <v>15.0</v>
      </c>
      <c r="D782" s="156">
        <v>3.05882352941176</v>
      </c>
    </row>
    <row r="783" ht="15.75" customHeight="1">
      <c r="A783" s="156">
        <v>2001.0</v>
      </c>
      <c r="B783" s="156" t="s">
        <v>135</v>
      </c>
      <c r="C783" s="156">
        <v>20.0</v>
      </c>
      <c r="D783" s="156">
        <v>6.11764705882353</v>
      </c>
    </row>
    <row r="784" ht="15.75" customHeight="1">
      <c r="A784" s="156">
        <v>2001.0</v>
      </c>
      <c r="B784" s="156" t="s">
        <v>135</v>
      </c>
      <c r="C784" s="156">
        <v>25.0</v>
      </c>
      <c r="D784" s="156">
        <v>3.05882352941176</v>
      </c>
    </row>
    <row r="785" ht="15.75" customHeight="1">
      <c r="A785" s="156">
        <v>2001.0</v>
      </c>
      <c r="B785" s="156" t="s">
        <v>135</v>
      </c>
      <c r="C785" s="156">
        <v>30.0</v>
      </c>
      <c r="D785" s="156">
        <v>5.09803921568627</v>
      </c>
    </row>
    <row r="786" ht="15.75" customHeight="1">
      <c r="A786" s="156">
        <v>2001.0</v>
      </c>
      <c r="B786" s="156" t="s">
        <v>135</v>
      </c>
      <c r="C786" s="156">
        <v>35.0</v>
      </c>
      <c r="D786" s="156">
        <v>7.13725490196078</v>
      </c>
    </row>
    <row r="787" ht="15.75" customHeight="1">
      <c r="A787" s="156">
        <v>2001.0</v>
      </c>
      <c r="B787" s="156" t="s">
        <v>135</v>
      </c>
      <c r="C787" s="156">
        <v>40.0</v>
      </c>
      <c r="D787" s="156">
        <v>5.09803921568627</v>
      </c>
    </row>
    <row r="788" ht="15.75" customHeight="1">
      <c r="A788" s="156">
        <v>2001.0</v>
      </c>
      <c r="B788" s="156" t="s">
        <v>135</v>
      </c>
      <c r="C788" s="156">
        <v>45.0</v>
      </c>
      <c r="D788" s="156">
        <v>5.09803921568627</v>
      </c>
    </row>
    <row r="789" ht="15.75" customHeight="1">
      <c r="A789" s="156">
        <v>2001.0</v>
      </c>
      <c r="B789" s="156" t="s">
        <v>135</v>
      </c>
      <c r="C789" s="156">
        <v>50.0</v>
      </c>
      <c r="D789" s="156">
        <v>3.05882352941176</v>
      </c>
    </row>
    <row r="790" ht="15.75" customHeight="1">
      <c r="A790" s="156">
        <v>2001.0</v>
      </c>
      <c r="B790" s="156" t="s">
        <v>135</v>
      </c>
      <c r="C790" s="156">
        <v>55.0</v>
      </c>
      <c r="D790" s="156">
        <v>2.03921568627451</v>
      </c>
    </row>
    <row r="791" ht="15.75" customHeight="1">
      <c r="A791" s="156">
        <v>2001.0</v>
      </c>
      <c r="B791" s="156" t="s">
        <v>135</v>
      </c>
      <c r="C791" s="156">
        <v>60.0</v>
      </c>
      <c r="D791" s="156">
        <v>3.05882352941176</v>
      </c>
    </row>
    <row r="792" ht="15.75" customHeight="1">
      <c r="A792" s="156">
        <v>2001.0</v>
      </c>
      <c r="B792" s="156" t="s">
        <v>135</v>
      </c>
      <c r="C792" s="156">
        <v>65.0</v>
      </c>
      <c r="D792" s="156">
        <v>2.03921568627451</v>
      </c>
    </row>
    <row r="793" ht="15.75" customHeight="1">
      <c r="A793" s="156">
        <v>2001.0</v>
      </c>
      <c r="B793" s="156" t="s">
        <v>135</v>
      </c>
      <c r="C793" s="156">
        <v>70.0</v>
      </c>
      <c r="D793" s="156">
        <v>2.03921568627451</v>
      </c>
    </row>
    <row r="794" ht="15.75" customHeight="1">
      <c r="A794" s="156">
        <v>2001.0</v>
      </c>
      <c r="B794" s="156" t="s">
        <v>135</v>
      </c>
      <c r="C794" s="156">
        <v>75.0</v>
      </c>
      <c r="D794" s="156">
        <v>0.0</v>
      </c>
    </row>
    <row r="795" ht="15.75" customHeight="1">
      <c r="A795" s="156">
        <v>2001.0</v>
      </c>
      <c r="B795" s="156" t="s">
        <v>135</v>
      </c>
      <c r="C795" s="156">
        <v>80.0</v>
      </c>
      <c r="D795" s="156">
        <v>1.01960784313725</v>
      </c>
    </row>
    <row r="796" ht="15.75" customHeight="1">
      <c r="A796" s="156">
        <v>2001.0</v>
      </c>
      <c r="B796" s="156" t="s">
        <v>135</v>
      </c>
      <c r="C796" s="156">
        <v>85.0</v>
      </c>
      <c r="D796" s="156">
        <v>1.01960784313725</v>
      </c>
    </row>
    <row r="797" ht="15.75" customHeight="1">
      <c r="A797" s="156">
        <v>2002.0</v>
      </c>
      <c r="B797" s="156" t="s">
        <v>135</v>
      </c>
      <c r="C797" s="156">
        <v>0.0</v>
      </c>
      <c r="D797" s="156">
        <v>0.0</v>
      </c>
    </row>
    <row r="798" ht="15.75" customHeight="1">
      <c r="A798" s="156">
        <v>2002.0</v>
      </c>
      <c r="B798" s="156" t="s">
        <v>135</v>
      </c>
      <c r="C798" s="156">
        <v>1.0</v>
      </c>
      <c r="D798" s="156">
        <v>1.022</v>
      </c>
    </row>
    <row r="799" ht="15.75" customHeight="1">
      <c r="A799" s="156">
        <v>2002.0</v>
      </c>
      <c r="B799" s="156" t="s">
        <v>135</v>
      </c>
      <c r="C799" s="156">
        <v>5.0</v>
      </c>
      <c r="D799" s="156">
        <v>2.044</v>
      </c>
    </row>
    <row r="800" ht="15.75" customHeight="1">
      <c r="A800" s="156">
        <v>2002.0</v>
      </c>
      <c r="B800" s="156" t="s">
        <v>135</v>
      </c>
      <c r="C800" s="156">
        <v>10.0</v>
      </c>
      <c r="D800" s="156">
        <v>3.066</v>
      </c>
    </row>
    <row r="801" ht="15.75" customHeight="1">
      <c r="A801" s="156">
        <v>2002.0</v>
      </c>
      <c r="B801" s="156" t="s">
        <v>135</v>
      </c>
      <c r="C801" s="156">
        <v>15.0</v>
      </c>
      <c r="D801" s="156">
        <v>5.11</v>
      </c>
    </row>
    <row r="802" ht="15.75" customHeight="1">
      <c r="A802" s="156">
        <v>2002.0</v>
      </c>
      <c r="B802" s="156" t="s">
        <v>135</v>
      </c>
      <c r="C802" s="156">
        <v>20.0</v>
      </c>
      <c r="D802" s="156">
        <v>5.11</v>
      </c>
    </row>
    <row r="803" ht="15.75" customHeight="1">
      <c r="A803" s="156">
        <v>2002.0</v>
      </c>
      <c r="B803" s="156" t="s">
        <v>135</v>
      </c>
      <c r="C803" s="156">
        <v>25.0</v>
      </c>
      <c r="D803" s="156">
        <v>5.11</v>
      </c>
    </row>
    <row r="804" ht="15.75" customHeight="1">
      <c r="A804" s="156">
        <v>2002.0</v>
      </c>
      <c r="B804" s="156" t="s">
        <v>135</v>
      </c>
      <c r="C804" s="156">
        <v>30.0</v>
      </c>
      <c r="D804" s="156">
        <v>5.11</v>
      </c>
    </row>
    <row r="805" ht="15.75" customHeight="1">
      <c r="A805" s="156">
        <v>2002.0</v>
      </c>
      <c r="B805" s="156" t="s">
        <v>135</v>
      </c>
      <c r="C805" s="156">
        <v>35.0</v>
      </c>
      <c r="D805" s="156">
        <v>3.066</v>
      </c>
    </row>
    <row r="806" ht="15.75" customHeight="1">
      <c r="A806" s="156">
        <v>2002.0</v>
      </c>
      <c r="B806" s="156" t="s">
        <v>135</v>
      </c>
      <c r="C806" s="156">
        <v>40.0</v>
      </c>
      <c r="D806" s="156">
        <v>1.022</v>
      </c>
    </row>
    <row r="807" ht="15.75" customHeight="1">
      <c r="A807" s="156">
        <v>2002.0</v>
      </c>
      <c r="B807" s="156" t="s">
        <v>135</v>
      </c>
      <c r="C807" s="156">
        <v>45.0</v>
      </c>
      <c r="D807" s="156">
        <v>3.066</v>
      </c>
    </row>
    <row r="808" ht="15.75" customHeight="1">
      <c r="A808" s="156">
        <v>2002.0</v>
      </c>
      <c r="B808" s="156" t="s">
        <v>135</v>
      </c>
      <c r="C808" s="156">
        <v>50.0</v>
      </c>
      <c r="D808" s="156">
        <v>6.132</v>
      </c>
    </row>
    <row r="809" ht="15.75" customHeight="1">
      <c r="A809" s="156">
        <v>2002.0</v>
      </c>
      <c r="B809" s="156" t="s">
        <v>135</v>
      </c>
      <c r="C809" s="156">
        <v>55.0</v>
      </c>
      <c r="D809" s="156">
        <v>6.132</v>
      </c>
    </row>
    <row r="810" ht="15.75" customHeight="1">
      <c r="A810" s="156">
        <v>2002.0</v>
      </c>
      <c r="B810" s="156" t="s">
        <v>135</v>
      </c>
      <c r="C810" s="156">
        <v>60.0</v>
      </c>
      <c r="D810" s="156">
        <v>2.044</v>
      </c>
    </row>
    <row r="811" ht="15.75" customHeight="1">
      <c r="A811" s="156">
        <v>2002.0</v>
      </c>
      <c r="B811" s="156" t="s">
        <v>135</v>
      </c>
      <c r="C811" s="156">
        <v>65.0</v>
      </c>
      <c r="D811" s="156">
        <v>2.044</v>
      </c>
    </row>
    <row r="812" ht="15.75" customHeight="1">
      <c r="A812" s="156">
        <v>2002.0</v>
      </c>
      <c r="B812" s="156" t="s">
        <v>135</v>
      </c>
      <c r="C812" s="156">
        <v>70.0</v>
      </c>
      <c r="D812" s="156">
        <v>1.022</v>
      </c>
    </row>
    <row r="813" ht="15.75" customHeight="1">
      <c r="A813" s="156">
        <v>2002.0</v>
      </c>
      <c r="B813" s="156" t="s">
        <v>135</v>
      </c>
      <c r="C813" s="156">
        <v>75.0</v>
      </c>
      <c r="D813" s="156">
        <v>0.0</v>
      </c>
    </row>
    <row r="814" ht="15.75" customHeight="1">
      <c r="A814" s="156">
        <v>2002.0</v>
      </c>
      <c r="B814" s="156" t="s">
        <v>135</v>
      </c>
      <c r="C814" s="156">
        <v>80.0</v>
      </c>
      <c r="D814" s="156">
        <v>0.0</v>
      </c>
    </row>
    <row r="815" ht="15.75" customHeight="1">
      <c r="A815" s="156">
        <v>2002.0</v>
      </c>
      <c r="B815" s="156" t="s">
        <v>135</v>
      </c>
      <c r="C815" s="156">
        <v>85.0</v>
      </c>
      <c r="D815" s="156">
        <v>0.0</v>
      </c>
    </row>
    <row r="816" ht="15.75" customHeight="1">
      <c r="A816" s="156">
        <v>2003.0</v>
      </c>
      <c r="B816" s="156" t="s">
        <v>135</v>
      </c>
      <c r="C816" s="156">
        <v>0.0</v>
      </c>
      <c r="D816" s="156">
        <v>1.02083333333333</v>
      </c>
    </row>
    <row r="817" ht="15.75" customHeight="1">
      <c r="A817" s="156">
        <v>2003.0</v>
      </c>
      <c r="B817" s="156" t="s">
        <v>135</v>
      </c>
      <c r="C817" s="156">
        <v>1.0</v>
      </c>
      <c r="D817" s="156">
        <v>3.0625</v>
      </c>
    </row>
    <row r="818" ht="15.75" customHeight="1">
      <c r="A818" s="156">
        <v>2003.0</v>
      </c>
      <c r="B818" s="156" t="s">
        <v>135</v>
      </c>
      <c r="C818" s="156">
        <v>10.0</v>
      </c>
      <c r="D818" s="156">
        <v>0.0</v>
      </c>
    </row>
    <row r="819" ht="15.75" customHeight="1">
      <c r="A819" s="156">
        <v>2003.0</v>
      </c>
      <c r="B819" s="156" t="s">
        <v>135</v>
      </c>
      <c r="C819" s="156">
        <v>15.0</v>
      </c>
      <c r="D819" s="156">
        <v>7.14583333333333</v>
      </c>
    </row>
    <row r="820" ht="15.75" customHeight="1">
      <c r="A820" s="156">
        <v>2003.0</v>
      </c>
      <c r="B820" s="156" t="s">
        <v>135</v>
      </c>
      <c r="C820" s="156">
        <v>20.0</v>
      </c>
      <c r="D820" s="156">
        <v>5.10416666666667</v>
      </c>
    </row>
    <row r="821" ht="15.75" customHeight="1">
      <c r="A821" s="156">
        <v>2003.0</v>
      </c>
      <c r="B821" s="156" t="s">
        <v>135</v>
      </c>
      <c r="C821" s="156">
        <v>25.0</v>
      </c>
      <c r="D821" s="156">
        <v>6.125</v>
      </c>
    </row>
    <row r="822" ht="15.75" customHeight="1">
      <c r="A822" s="156">
        <v>2003.0</v>
      </c>
      <c r="B822" s="156" t="s">
        <v>135</v>
      </c>
      <c r="C822" s="156">
        <v>30.0</v>
      </c>
      <c r="D822" s="156">
        <v>5.10416666666667</v>
      </c>
    </row>
    <row r="823" ht="15.75" customHeight="1">
      <c r="A823" s="156">
        <v>2003.0</v>
      </c>
      <c r="B823" s="156" t="s">
        <v>135</v>
      </c>
      <c r="C823" s="156">
        <v>35.0</v>
      </c>
      <c r="D823" s="156">
        <v>2.04166666666667</v>
      </c>
    </row>
    <row r="824" ht="15.75" customHeight="1">
      <c r="A824" s="156">
        <v>2003.0</v>
      </c>
      <c r="B824" s="156" t="s">
        <v>135</v>
      </c>
      <c r="C824" s="156">
        <v>40.0</v>
      </c>
      <c r="D824" s="156">
        <v>5.10416666666667</v>
      </c>
    </row>
    <row r="825" ht="15.75" customHeight="1">
      <c r="A825" s="156">
        <v>2003.0</v>
      </c>
      <c r="B825" s="156" t="s">
        <v>135</v>
      </c>
      <c r="C825" s="156">
        <v>45.0</v>
      </c>
      <c r="D825" s="156">
        <v>3.0625</v>
      </c>
    </row>
    <row r="826" ht="15.75" customHeight="1">
      <c r="A826" s="156">
        <v>2003.0</v>
      </c>
      <c r="B826" s="156" t="s">
        <v>135</v>
      </c>
      <c r="C826" s="156">
        <v>50.0</v>
      </c>
      <c r="D826" s="156">
        <v>2.04166666666667</v>
      </c>
    </row>
    <row r="827" ht="15.75" customHeight="1">
      <c r="A827" s="156">
        <v>2003.0</v>
      </c>
      <c r="B827" s="156" t="s">
        <v>135</v>
      </c>
      <c r="C827" s="156">
        <v>55.0</v>
      </c>
      <c r="D827" s="156">
        <v>4.08333333333333</v>
      </c>
    </row>
    <row r="828" ht="15.75" customHeight="1">
      <c r="A828" s="156">
        <v>2003.0</v>
      </c>
      <c r="B828" s="156" t="s">
        <v>135</v>
      </c>
      <c r="C828" s="156">
        <v>60.0</v>
      </c>
      <c r="D828" s="156">
        <v>1.02083333333333</v>
      </c>
    </row>
    <row r="829" ht="15.75" customHeight="1">
      <c r="A829" s="156">
        <v>2003.0</v>
      </c>
      <c r="B829" s="156" t="s">
        <v>135</v>
      </c>
      <c r="C829" s="156">
        <v>65.0</v>
      </c>
      <c r="D829" s="156">
        <v>1.02083333333333</v>
      </c>
    </row>
    <row r="830" ht="15.75" customHeight="1">
      <c r="A830" s="156">
        <v>2003.0</v>
      </c>
      <c r="B830" s="156" t="s">
        <v>135</v>
      </c>
      <c r="C830" s="156">
        <v>70.0</v>
      </c>
      <c r="D830" s="156">
        <v>1.02083333333333</v>
      </c>
    </row>
    <row r="831" ht="15.75" customHeight="1">
      <c r="A831" s="156">
        <v>2003.0</v>
      </c>
      <c r="B831" s="156" t="s">
        <v>135</v>
      </c>
      <c r="C831" s="156">
        <v>75.0</v>
      </c>
      <c r="D831" s="156">
        <v>1.02083333333333</v>
      </c>
    </row>
    <row r="832" ht="15.75" customHeight="1">
      <c r="A832" s="156">
        <v>2003.0</v>
      </c>
      <c r="B832" s="156" t="s">
        <v>135</v>
      </c>
      <c r="C832" s="156">
        <v>80.0</v>
      </c>
      <c r="D832" s="156">
        <v>0.0</v>
      </c>
    </row>
    <row r="833" ht="15.75" customHeight="1">
      <c r="A833" s="156">
        <v>2003.0</v>
      </c>
      <c r="B833" s="156" t="s">
        <v>135</v>
      </c>
      <c r="C833" s="156">
        <v>85.0</v>
      </c>
      <c r="D833" s="156">
        <v>1.02083333333333</v>
      </c>
    </row>
    <row r="834" ht="15.75" customHeight="1">
      <c r="A834" s="156">
        <v>2004.0</v>
      </c>
      <c r="B834" s="156" t="s">
        <v>135</v>
      </c>
      <c r="C834" s="156">
        <v>0.0</v>
      </c>
      <c r="D834" s="156">
        <v>0.0</v>
      </c>
    </row>
    <row r="835" ht="15.75" customHeight="1">
      <c r="A835" s="156">
        <v>2004.0</v>
      </c>
      <c r="B835" s="156" t="s">
        <v>135</v>
      </c>
      <c r="C835" s="156">
        <v>5.0</v>
      </c>
      <c r="D835" s="156">
        <v>2.04761904761905</v>
      </c>
    </row>
    <row r="836" ht="15.75" customHeight="1">
      <c r="A836" s="156">
        <v>2004.0</v>
      </c>
      <c r="B836" s="156" t="s">
        <v>135</v>
      </c>
      <c r="C836" s="156">
        <v>10.0</v>
      </c>
      <c r="D836" s="156">
        <v>1.02380952380952</v>
      </c>
    </row>
    <row r="837" ht="15.75" customHeight="1">
      <c r="A837" s="156">
        <v>2004.0</v>
      </c>
      <c r="B837" s="156" t="s">
        <v>135</v>
      </c>
      <c r="C837" s="156">
        <v>15.0</v>
      </c>
      <c r="D837" s="156">
        <v>3.07142857142857</v>
      </c>
    </row>
    <row r="838" ht="15.75" customHeight="1">
      <c r="A838" s="156">
        <v>2004.0</v>
      </c>
      <c r="B838" s="156" t="s">
        <v>135</v>
      </c>
      <c r="C838" s="156">
        <v>20.0</v>
      </c>
      <c r="D838" s="156">
        <v>8.19047619047619</v>
      </c>
    </row>
    <row r="839" ht="15.75" customHeight="1">
      <c r="A839" s="156">
        <v>2004.0</v>
      </c>
      <c r="B839" s="156" t="s">
        <v>135</v>
      </c>
      <c r="C839" s="156">
        <v>25.0</v>
      </c>
      <c r="D839" s="156">
        <v>6.14285714285714</v>
      </c>
    </row>
    <row r="840" ht="15.75" customHeight="1">
      <c r="A840" s="156">
        <v>2004.0</v>
      </c>
      <c r="B840" s="156" t="s">
        <v>135</v>
      </c>
      <c r="C840" s="156">
        <v>30.0</v>
      </c>
      <c r="D840" s="156">
        <v>3.07142857142857</v>
      </c>
    </row>
    <row r="841" ht="15.75" customHeight="1">
      <c r="A841" s="156">
        <v>2004.0</v>
      </c>
      <c r="B841" s="156" t="s">
        <v>135</v>
      </c>
      <c r="C841" s="156">
        <v>35.0</v>
      </c>
      <c r="D841" s="156">
        <v>4.09523809523809</v>
      </c>
    </row>
    <row r="842" ht="15.75" customHeight="1">
      <c r="A842" s="156">
        <v>2004.0</v>
      </c>
      <c r="B842" s="156" t="s">
        <v>135</v>
      </c>
      <c r="C842" s="156">
        <v>40.0</v>
      </c>
      <c r="D842" s="156">
        <v>4.09523809523809</v>
      </c>
    </row>
    <row r="843" ht="15.75" customHeight="1">
      <c r="A843" s="156">
        <v>2004.0</v>
      </c>
      <c r="B843" s="156" t="s">
        <v>135</v>
      </c>
      <c r="C843" s="156">
        <v>45.0</v>
      </c>
      <c r="D843" s="156">
        <v>1.02380952380952</v>
      </c>
    </row>
    <row r="844" ht="15.75" customHeight="1">
      <c r="A844" s="156">
        <v>2004.0</v>
      </c>
      <c r="B844" s="156" t="s">
        <v>135</v>
      </c>
      <c r="C844" s="156">
        <v>50.0</v>
      </c>
      <c r="D844" s="156">
        <v>2.04761904761905</v>
      </c>
    </row>
    <row r="845" ht="15.75" customHeight="1">
      <c r="A845" s="156">
        <v>2004.0</v>
      </c>
      <c r="B845" s="156" t="s">
        <v>135</v>
      </c>
      <c r="C845" s="156">
        <v>55.0</v>
      </c>
      <c r="D845" s="156">
        <v>2.04761904761905</v>
      </c>
    </row>
    <row r="846" ht="15.75" customHeight="1">
      <c r="A846" s="156">
        <v>2004.0</v>
      </c>
      <c r="B846" s="156" t="s">
        <v>135</v>
      </c>
      <c r="C846" s="156">
        <v>60.0</v>
      </c>
      <c r="D846" s="156">
        <v>2.04761904761905</v>
      </c>
    </row>
    <row r="847" ht="15.75" customHeight="1">
      <c r="A847" s="156">
        <v>2004.0</v>
      </c>
      <c r="B847" s="156" t="s">
        <v>135</v>
      </c>
      <c r="C847" s="156">
        <v>65.0</v>
      </c>
      <c r="D847" s="156">
        <v>1.02380952380952</v>
      </c>
    </row>
    <row r="848" ht="15.75" customHeight="1">
      <c r="A848" s="156">
        <v>2004.0</v>
      </c>
      <c r="B848" s="156" t="s">
        <v>135</v>
      </c>
      <c r="C848" s="156">
        <v>70.0</v>
      </c>
      <c r="D848" s="156">
        <v>1.02380952380952</v>
      </c>
    </row>
    <row r="849" ht="15.75" customHeight="1">
      <c r="A849" s="156">
        <v>2004.0</v>
      </c>
      <c r="B849" s="156" t="s">
        <v>135</v>
      </c>
      <c r="C849" s="156">
        <v>75.0</v>
      </c>
      <c r="D849" s="156">
        <v>1.02380952380952</v>
      </c>
    </row>
    <row r="850" ht="15.75" customHeight="1">
      <c r="A850" s="156">
        <v>2004.0</v>
      </c>
      <c r="B850" s="156" t="s">
        <v>135</v>
      </c>
      <c r="C850" s="156">
        <v>80.0</v>
      </c>
      <c r="D850" s="156">
        <v>0.0</v>
      </c>
    </row>
    <row r="851" ht="15.75" customHeight="1">
      <c r="A851" s="156">
        <v>2004.0</v>
      </c>
      <c r="B851" s="156" t="s">
        <v>135</v>
      </c>
      <c r="C851" s="156">
        <v>85.0</v>
      </c>
      <c r="D851" s="156">
        <v>1.02380952380952</v>
      </c>
    </row>
    <row r="852" ht="15.75" customHeight="1">
      <c r="A852" s="156">
        <v>2005.0</v>
      </c>
      <c r="B852" s="156" t="s">
        <v>135</v>
      </c>
      <c r="C852" s="156">
        <v>1.0</v>
      </c>
      <c r="D852" s="156">
        <v>2.08163265306122</v>
      </c>
    </row>
    <row r="853" ht="15.75" customHeight="1">
      <c r="A853" s="156">
        <v>2005.0</v>
      </c>
      <c r="B853" s="156" t="s">
        <v>135</v>
      </c>
      <c r="C853" s="156">
        <v>5.0</v>
      </c>
      <c r="D853" s="156">
        <v>0.0</v>
      </c>
    </row>
    <row r="854" ht="15.75" customHeight="1">
      <c r="A854" s="156">
        <v>2005.0</v>
      </c>
      <c r="B854" s="156" t="s">
        <v>135</v>
      </c>
      <c r="C854" s="156">
        <v>10.0</v>
      </c>
      <c r="D854" s="156">
        <v>4.16326530612245</v>
      </c>
    </row>
    <row r="855" ht="15.75" customHeight="1">
      <c r="A855" s="156">
        <v>2005.0</v>
      </c>
      <c r="B855" s="156" t="s">
        <v>135</v>
      </c>
      <c r="C855" s="156">
        <v>15.0</v>
      </c>
      <c r="D855" s="156">
        <v>5.20408163265306</v>
      </c>
    </row>
    <row r="856" ht="15.75" customHeight="1">
      <c r="A856" s="156">
        <v>2005.0</v>
      </c>
      <c r="B856" s="156" t="s">
        <v>135</v>
      </c>
      <c r="C856" s="156">
        <v>20.0</v>
      </c>
      <c r="D856" s="156">
        <v>8.3265306122449</v>
      </c>
    </row>
    <row r="857" ht="15.75" customHeight="1">
      <c r="A857" s="156">
        <v>2005.0</v>
      </c>
      <c r="B857" s="156" t="s">
        <v>135</v>
      </c>
      <c r="C857" s="156">
        <v>25.0</v>
      </c>
      <c r="D857" s="156">
        <v>5.20408163265306</v>
      </c>
    </row>
    <row r="858" ht="15.75" customHeight="1">
      <c r="A858" s="156">
        <v>2005.0</v>
      </c>
      <c r="B858" s="156" t="s">
        <v>135</v>
      </c>
      <c r="C858" s="156">
        <v>30.0</v>
      </c>
      <c r="D858" s="156">
        <v>4.16326530612245</v>
      </c>
    </row>
    <row r="859" ht="15.75" customHeight="1">
      <c r="A859" s="156">
        <v>2005.0</v>
      </c>
      <c r="B859" s="156" t="s">
        <v>135</v>
      </c>
      <c r="C859" s="156">
        <v>35.0</v>
      </c>
      <c r="D859" s="156">
        <v>5.20408163265306</v>
      </c>
    </row>
    <row r="860" ht="15.75" customHeight="1">
      <c r="A860" s="156">
        <v>2005.0</v>
      </c>
      <c r="B860" s="156" t="s">
        <v>135</v>
      </c>
      <c r="C860" s="156">
        <v>40.0</v>
      </c>
      <c r="D860" s="156">
        <v>3.12244897959184</v>
      </c>
    </row>
    <row r="861" ht="15.75" customHeight="1">
      <c r="A861" s="156">
        <v>2005.0</v>
      </c>
      <c r="B861" s="156" t="s">
        <v>135</v>
      </c>
      <c r="C861" s="156">
        <v>45.0</v>
      </c>
      <c r="D861" s="156">
        <v>3.12244897959184</v>
      </c>
    </row>
    <row r="862" ht="15.75" customHeight="1">
      <c r="A862" s="156">
        <v>2005.0</v>
      </c>
      <c r="B862" s="156" t="s">
        <v>135</v>
      </c>
      <c r="C862" s="156">
        <v>50.0</v>
      </c>
      <c r="D862" s="156">
        <v>2.08163265306122</v>
      </c>
    </row>
    <row r="863" ht="15.75" customHeight="1">
      <c r="A863" s="156">
        <v>2005.0</v>
      </c>
      <c r="B863" s="156" t="s">
        <v>135</v>
      </c>
      <c r="C863" s="156">
        <v>55.0</v>
      </c>
      <c r="D863" s="156">
        <v>4.16326530612245</v>
      </c>
    </row>
    <row r="864" ht="15.75" customHeight="1">
      <c r="A864" s="156">
        <v>2005.0</v>
      </c>
      <c r="B864" s="156" t="s">
        <v>135</v>
      </c>
      <c r="C864" s="156">
        <v>60.0</v>
      </c>
      <c r="D864" s="156">
        <v>2.08163265306122</v>
      </c>
    </row>
    <row r="865" ht="15.75" customHeight="1">
      <c r="A865" s="156">
        <v>2005.0</v>
      </c>
      <c r="B865" s="156" t="s">
        <v>135</v>
      </c>
      <c r="C865" s="156">
        <v>65.0</v>
      </c>
      <c r="D865" s="156">
        <v>1.04081632653061</v>
      </c>
    </row>
    <row r="866" ht="15.75" customHeight="1">
      <c r="A866" s="156">
        <v>2005.0</v>
      </c>
      <c r="B866" s="156" t="s">
        <v>135</v>
      </c>
      <c r="C866" s="156">
        <v>70.0</v>
      </c>
      <c r="D866" s="156">
        <v>0.0</v>
      </c>
    </row>
    <row r="867" ht="15.75" customHeight="1">
      <c r="A867" s="156">
        <v>2005.0</v>
      </c>
      <c r="B867" s="156" t="s">
        <v>135</v>
      </c>
      <c r="C867" s="156">
        <v>75.0</v>
      </c>
      <c r="D867" s="156">
        <v>0.0</v>
      </c>
    </row>
    <row r="868" ht="15.75" customHeight="1">
      <c r="A868" s="156">
        <v>2005.0</v>
      </c>
      <c r="B868" s="156" t="s">
        <v>135</v>
      </c>
      <c r="C868" s="156">
        <v>80.0</v>
      </c>
      <c r="D868" s="156">
        <v>1.04081632653061</v>
      </c>
    </row>
    <row r="869" ht="15.75" customHeight="1">
      <c r="A869" s="156">
        <v>2005.0</v>
      </c>
      <c r="B869" s="156" t="s">
        <v>135</v>
      </c>
      <c r="C869" s="156">
        <v>85.0</v>
      </c>
      <c r="D869" s="156">
        <v>0.0</v>
      </c>
    </row>
    <row r="870" ht="15.75" customHeight="1">
      <c r="A870" s="156">
        <v>2006.0</v>
      </c>
      <c r="B870" s="156" t="s">
        <v>135</v>
      </c>
      <c r="C870" s="156">
        <v>0.0</v>
      </c>
      <c r="D870" s="156">
        <v>2.04444444444444</v>
      </c>
    </row>
    <row r="871" ht="15.75" customHeight="1">
      <c r="A871" s="156">
        <v>2006.0</v>
      </c>
      <c r="B871" s="156" t="s">
        <v>135</v>
      </c>
      <c r="C871" s="156">
        <v>1.0</v>
      </c>
      <c r="D871" s="156">
        <v>1.02222222222222</v>
      </c>
    </row>
    <row r="872" ht="15.75" customHeight="1">
      <c r="A872" s="156">
        <v>2006.0</v>
      </c>
      <c r="B872" s="156" t="s">
        <v>135</v>
      </c>
      <c r="C872" s="156">
        <v>5.0</v>
      </c>
      <c r="D872" s="156">
        <v>0.0</v>
      </c>
    </row>
    <row r="873" ht="15.75" customHeight="1">
      <c r="A873" s="156">
        <v>2006.0</v>
      </c>
      <c r="B873" s="156" t="s">
        <v>135</v>
      </c>
      <c r="C873" s="156">
        <v>10.0</v>
      </c>
      <c r="D873" s="156">
        <v>2.04444444444444</v>
      </c>
    </row>
    <row r="874" ht="15.75" customHeight="1">
      <c r="A874" s="156">
        <v>2006.0</v>
      </c>
      <c r="B874" s="156" t="s">
        <v>135</v>
      </c>
      <c r="C874" s="156">
        <v>15.0</v>
      </c>
      <c r="D874" s="156">
        <v>6.13333333333333</v>
      </c>
    </row>
    <row r="875" ht="15.75" customHeight="1">
      <c r="A875" s="156">
        <v>2006.0</v>
      </c>
      <c r="B875" s="156" t="s">
        <v>135</v>
      </c>
      <c r="C875" s="156">
        <v>20.0</v>
      </c>
      <c r="D875" s="156">
        <v>3.06666666666667</v>
      </c>
    </row>
    <row r="876" ht="15.75" customHeight="1">
      <c r="A876" s="156">
        <v>2006.0</v>
      </c>
      <c r="B876" s="156" t="s">
        <v>135</v>
      </c>
      <c r="C876" s="156">
        <v>25.0</v>
      </c>
      <c r="D876" s="156">
        <v>7.15555555555556</v>
      </c>
    </row>
    <row r="877" ht="15.75" customHeight="1">
      <c r="A877" s="156">
        <v>2006.0</v>
      </c>
      <c r="B877" s="156" t="s">
        <v>135</v>
      </c>
      <c r="C877" s="156">
        <v>30.0</v>
      </c>
      <c r="D877" s="156">
        <v>4.08888888888889</v>
      </c>
    </row>
    <row r="878" ht="15.75" customHeight="1">
      <c r="A878" s="156">
        <v>2006.0</v>
      </c>
      <c r="B878" s="156" t="s">
        <v>135</v>
      </c>
      <c r="C878" s="156">
        <v>35.0</v>
      </c>
      <c r="D878" s="156">
        <v>6.13333333333333</v>
      </c>
    </row>
    <row r="879" ht="15.75" customHeight="1">
      <c r="A879" s="156">
        <v>2006.0</v>
      </c>
      <c r="B879" s="156" t="s">
        <v>135</v>
      </c>
      <c r="C879" s="156">
        <v>40.0</v>
      </c>
      <c r="D879" s="156">
        <v>5.11111111111111</v>
      </c>
    </row>
    <row r="880" ht="15.75" customHeight="1">
      <c r="A880" s="156">
        <v>2006.0</v>
      </c>
      <c r="B880" s="156" t="s">
        <v>135</v>
      </c>
      <c r="C880" s="156">
        <v>45.0</v>
      </c>
      <c r="D880" s="156">
        <v>3.06666666666667</v>
      </c>
    </row>
    <row r="881" ht="15.75" customHeight="1">
      <c r="A881" s="156">
        <v>2006.0</v>
      </c>
      <c r="B881" s="156" t="s">
        <v>135</v>
      </c>
      <c r="C881" s="156">
        <v>50.0</v>
      </c>
      <c r="D881" s="156">
        <v>2.04444444444444</v>
      </c>
    </row>
    <row r="882" ht="15.75" customHeight="1">
      <c r="A882" s="156">
        <v>2006.0</v>
      </c>
      <c r="B882" s="156" t="s">
        <v>135</v>
      </c>
      <c r="C882" s="156">
        <v>55.0</v>
      </c>
      <c r="D882" s="156">
        <v>0.0</v>
      </c>
    </row>
    <row r="883" ht="15.75" customHeight="1">
      <c r="A883" s="156">
        <v>2006.0</v>
      </c>
      <c r="B883" s="156" t="s">
        <v>135</v>
      </c>
      <c r="C883" s="156">
        <v>60.0</v>
      </c>
      <c r="D883" s="156">
        <v>1.02222222222222</v>
      </c>
    </row>
    <row r="884" ht="15.75" customHeight="1">
      <c r="A884" s="156">
        <v>2006.0</v>
      </c>
      <c r="B884" s="156" t="s">
        <v>135</v>
      </c>
      <c r="C884" s="156">
        <v>65.0</v>
      </c>
      <c r="D884" s="156">
        <v>1.02222222222222</v>
      </c>
    </row>
    <row r="885" ht="15.75" customHeight="1">
      <c r="A885" s="156">
        <v>2006.0</v>
      </c>
      <c r="B885" s="156" t="s">
        <v>135</v>
      </c>
      <c r="C885" s="156">
        <v>70.0</v>
      </c>
      <c r="D885" s="156">
        <v>1.02222222222222</v>
      </c>
    </row>
    <row r="886" ht="15.75" customHeight="1">
      <c r="A886" s="156">
        <v>2006.0</v>
      </c>
      <c r="B886" s="156" t="s">
        <v>135</v>
      </c>
      <c r="C886" s="156">
        <v>75.0</v>
      </c>
      <c r="D886" s="156">
        <v>0.0</v>
      </c>
    </row>
    <row r="887" ht="15.75" customHeight="1">
      <c r="A887" s="156">
        <v>2006.0</v>
      </c>
      <c r="B887" s="156" t="s">
        <v>135</v>
      </c>
      <c r="C887" s="156">
        <v>80.0</v>
      </c>
      <c r="D887" s="156">
        <v>1.02222222222222</v>
      </c>
    </row>
    <row r="888" ht="15.75" customHeight="1">
      <c r="A888" s="156">
        <v>2006.0</v>
      </c>
      <c r="B888" s="156" t="s">
        <v>135</v>
      </c>
      <c r="C888" s="156">
        <v>85.0</v>
      </c>
      <c r="D888" s="156">
        <v>0.0</v>
      </c>
    </row>
    <row r="889" ht="15.75" customHeight="1">
      <c r="A889" s="156">
        <v>2007.0</v>
      </c>
      <c r="B889" s="156" t="s">
        <v>135</v>
      </c>
      <c r="C889" s="156">
        <v>0.0</v>
      </c>
      <c r="D889" s="156">
        <v>0.0</v>
      </c>
    </row>
    <row r="890" ht="15.75" customHeight="1">
      <c r="A890" s="156">
        <v>2007.0</v>
      </c>
      <c r="B890" s="156" t="s">
        <v>135</v>
      </c>
      <c r="C890" s="156">
        <v>1.0</v>
      </c>
      <c r="D890" s="156">
        <v>2.04651162790698</v>
      </c>
    </row>
    <row r="891" ht="15.75" customHeight="1">
      <c r="A891" s="156">
        <v>2007.0</v>
      </c>
      <c r="B891" s="156" t="s">
        <v>135</v>
      </c>
      <c r="C891" s="156">
        <v>10.0</v>
      </c>
      <c r="D891" s="156">
        <v>1.02325581395349</v>
      </c>
    </row>
    <row r="892" ht="15.75" customHeight="1">
      <c r="A892" s="156">
        <v>2007.0</v>
      </c>
      <c r="B892" s="156" t="s">
        <v>135</v>
      </c>
      <c r="C892" s="156">
        <v>15.0</v>
      </c>
      <c r="D892" s="156">
        <v>3.06976744186047</v>
      </c>
    </row>
    <row r="893" ht="15.75" customHeight="1">
      <c r="A893" s="156">
        <v>2007.0</v>
      </c>
      <c r="B893" s="156" t="s">
        <v>135</v>
      </c>
      <c r="C893" s="156">
        <v>20.0</v>
      </c>
      <c r="D893" s="156">
        <v>4.09302325581395</v>
      </c>
    </row>
    <row r="894" ht="15.75" customHeight="1">
      <c r="A894" s="156">
        <v>2007.0</v>
      </c>
      <c r="B894" s="156" t="s">
        <v>135</v>
      </c>
      <c r="C894" s="156">
        <v>25.0</v>
      </c>
      <c r="D894" s="156">
        <v>3.06976744186047</v>
      </c>
    </row>
    <row r="895" ht="15.75" customHeight="1">
      <c r="A895" s="156">
        <v>2007.0</v>
      </c>
      <c r="B895" s="156" t="s">
        <v>135</v>
      </c>
      <c r="C895" s="156">
        <v>30.0</v>
      </c>
      <c r="D895" s="156">
        <v>9.2093023255814</v>
      </c>
    </row>
    <row r="896" ht="15.75" customHeight="1">
      <c r="A896" s="156">
        <v>2007.0</v>
      </c>
      <c r="B896" s="156" t="s">
        <v>135</v>
      </c>
      <c r="C896" s="156">
        <v>35.0</v>
      </c>
      <c r="D896" s="156">
        <v>4.09302325581395</v>
      </c>
    </row>
    <row r="897" ht="15.75" customHeight="1">
      <c r="A897" s="156">
        <v>2007.0</v>
      </c>
      <c r="B897" s="156" t="s">
        <v>135</v>
      </c>
      <c r="C897" s="156">
        <v>40.0</v>
      </c>
      <c r="D897" s="156">
        <v>3.06976744186047</v>
      </c>
    </row>
    <row r="898" ht="15.75" customHeight="1">
      <c r="A898" s="156">
        <v>2007.0</v>
      </c>
      <c r="B898" s="156" t="s">
        <v>135</v>
      </c>
      <c r="C898" s="156">
        <v>45.0</v>
      </c>
      <c r="D898" s="156">
        <v>3.06976744186047</v>
      </c>
    </row>
    <row r="899" ht="15.75" customHeight="1">
      <c r="A899" s="156">
        <v>2007.0</v>
      </c>
      <c r="B899" s="156" t="s">
        <v>135</v>
      </c>
      <c r="C899" s="156">
        <v>50.0</v>
      </c>
      <c r="D899" s="156">
        <v>3.06976744186047</v>
      </c>
    </row>
    <row r="900" ht="15.75" customHeight="1">
      <c r="A900" s="156">
        <v>2007.0</v>
      </c>
      <c r="B900" s="156" t="s">
        <v>135</v>
      </c>
      <c r="C900" s="156">
        <v>55.0</v>
      </c>
      <c r="D900" s="156">
        <v>2.04651162790698</v>
      </c>
    </row>
    <row r="901" ht="15.75" customHeight="1">
      <c r="A901" s="156">
        <v>2007.0</v>
      </c>
      <c r="B901" s="156" t="s">
        <v>135</v>
      </c>
      <c r="C901" s="156">
        <v>60.0</v>
      </c>
      <c r="D901" s="156">
        <v>3.06976744186047</v>
      </c>
    </row>
    <row r="902" ht="15.75" customHeight="1">
      <c r="A902" s="156">
        <v>2007.0</v>
      </c>
      <c r="B902" s="156" t="s">
        <v>135</v>
      </c>
      <c r="C902" s="156">
        <v>65.0</v>
      </c>
      <c r="D902" s="156">
        <v>1.02325581395349</v>
      </c>
    </row>
    <row r="903" ht="15.75" customHeight="1">
      <c r="A903" s="156">
        <v>2007.0</v>
      </c>
      <c r="B903" s="156" t="s">
        <v>135</v>
      </c>
      <c r="C903" s="156">
        <v>70.0</v>
      </c>
      <c r="D903" s="156">
        <v>1.02325581395349</v>
      </c>
    </row>
    <row r="904" ht="15.75" customHeight="1">
      <c r="A904" s="156">
        <v>2007.0</v>
      </c>
      <c r="B904" s="156" t="s">
        <v>135</v>
      </c>
      <c r="C904" s="156">
        <v>75.0</v>
      </c>
      <c r="D904" s="156">
        <v>0.0</v>
      </c>
    </row>
    <row r="905" ht="15.75" customHeight="1">
      <c r="A905" s="156">
        <v>2007.0</v>
      </c>
      <c r="B905" s="156" t="s">
        <v>135</v>
      </c>
      <c r="C905" s="156">
        <v>80.0</v>
      </c>
      <c r="D905" s="156">
        <v>0.0</v>
      </c>
    </row>
    <row r="906" ht="15.75" customHeight="1">
      <c r="A906" s="156">
        <v>2007.0</v>
      </c>
      <c r="B906" s="156" t="s">
        <v>135</v>
      </c>
      <c r="C906" s="156">
        <v>85.0</v>
      </c>
      <c r="D906" s="156">
        <v>1.02325581395349</v>
      </c>
    </row>
    <row r="907" ht="15.75" customHeight="1">
      <c r="A907" s="156">
        <v>2008.0</v>
      </c>
      <c r="B907" s="156" t="s">
        <v>135</v>
      </c>
      <c r="C907" s="156">
        <v>0.0</v>
      </c>
      <c r="D907" s="156">
        <v>0.0</v>
      </c>
    </row>
    <row r="908" ht="15.75" customHeight="1">
      <c r="A908" s="156">
        <v>2008.0</v>
      </c>
      <c r="B908" s="156" t="s">
        <v>135</v>
      </c>
      <c r="C908" s="156">
        <v>1.0</v>
      </c>
      <c r="D908" s="156">
        <v>1.01785714285714</v>
      </c>
    </row>
    <row r="909" ht="15.75" customHeight="1">
      <c r="A909" s="156">
        <v>2008.0</v>
      </c>
      <c r="B909" s="156" t="s">
        <v>135</v>
      </c>
      <c r="C909" s="156">
        <v>5.0</v>
      </c>
      <c r="D909" s="156">
        <v>2.03571428571429</v>
      </c>
    </row>
    <row r="910" ht="15.75" customHeight="1">
      <c r="A910" s="156">
        <v>2008.0</v>
      </c>
      <c r="B910" s="156" t="s">
        <v>135</v>
      </c>
      <c r="C910" s="156">
        <v>10.0</v>
      </c>
      <c r="D910" s="156">
        <v>4.07142857142857</v>
      </c>
    </row>
    <row r="911" ht="15.75" customHeight="1">
      <c r="A911" s="156">
        <v>2008.0</v>
      </c>
      <c r="B911" s="156" t="s">
        <v>135</v>
      </c>
      <c r="C911" s="156">
        <v>15.0</v>
      </c>
      <c r="D911" s="156">
        <v>6.10714285714286</v>
      </c>
    </row>
    <row r="912" ht="15.75" customHeight="1">
      <c r="A912" s="156">
        <v>2008.0</v>
      </c>
      <c r="B912" s="156" t="s">
        <v>135</v>
      </c>
      <c r="C912" s="156">
        <v>20.0</v>
      </c>
      <c r="D912" s="156">
        <v>6.10714285714286</v>
      </c>
    </row>
    <row r="913" ht="15.75" customHeight="1">
      <c r="A913" s="156">
        <v>2008.0</v>
      </c>
      <c r="B913" s="156" t="s">
        <v>135</v>
      </c>
      <c r="C913" s="156">
        <v>25.0</v>
      </c>
      <c r="D913" s="156">
        <v>6.10714285714286</v>
      </c>
    </row>
    <row r="914" ht="15.75" customHeight="1">
      <c r="A914" s="156">
        <v>2008.0</v>
      </c>
      <c r="B914" s="156" t="s">
        <v>135</v>
      </c>
      <c r="C914" s="156">
        <v>30.0</v>
      </c>
      <c r="D914" s="156">
        <v>8.14285714285714</v>
      </c>
    </row>
    <row r="915" ht="15.75" customHeight="1">
      <c r="A915" s="156">
        <v>2008.0</v>
      </c>
      <c r="B915" s="156" t="s">
        <v>135</v>
      </c>
      <c r="C915" s="156">
        <v>35.0</v>
      </c>
      <c r="D915" s="156">
        <v>1.01785714285714</v>
      </c>
    </row>
    <row r="916" ht="15.75" customHeight="1">
      <c r="A916" s="156">
        <v>2008.0</v>
      </c>
      <c r="B916" s="156" t="s">
        <v>135</v>
      </c>
      <c r="C916" s="156">
        <v>40.0</v>
      </c>
      <c r="D916" s="156">
        <v>3.05357142857143</v>
      </c>
    </row>
    <row r="917" ht="15.75" customHeight="1">
      <c r="A917" s="156">
        <v>2008.0</v>
      </c>
      <c r="B917" s="156" t="s">
        <v>135</v>
      </c>
      <c r="C917" s="156">
        <v>45.0</v>
      </c>
      <c r="D917" s="156">
        <v>2.03571428571429</v>
      </c>
    </row>
    <row r="918" ht="15.75" customHeight="1">
      <c r="A918" s="156">
        <v>2008.0</v>
      </c>
      <c r="B918" s="156" t="s">
        <v>135</v>
      </c>
      <c r="C918" s="156">
        <v>50.0</v>
      </c>
      <c r="D918" s="156">
        <v>1.01785714285714</v>
      </c>
    </row>
    <row r="919" ht="15.75" customHeight="1">
      <c r="A919" s="156">
        <v>2008.0</v>
      </c>
      <c r="B919" s="156" t="s">
        <v>135</v>
      </c>
      <c r="C919" s="156">
        <v>55.0</v>
      </c>
      <c r="D919" s="156">
        <v>5.08928571428571</v>
      </c>
    </row>
    <row r="920" ht="15.75" customHeight="1">
      <c r="A920" s="156">
        <v>2008.0</v>
      </c>
      <c r="B920" s="156" t="s">
        <v>135</v>
      </c>
      <c r="C920" s="156">
        <v>60.0</v>
      </c>
      <c r="D920" s="156">
        <v>4.07142857142857</v>
      </c>
    </row>
    <row r="921" ht="15.75" customHeight="1">
      <c r="A921" s="156">
        <v>2008.0</v>
      </c>
      <c r="B921" s="156" t="s">
        <v>135</v>
      </c>
      <c r="C921" s="156">
        <v>65.0</v>
      </c>
      <c r="D921" s="156">
        <v>1.01785714285714</v>
      </c>
    </row>
    <row r="922" ht="15.75" customHeight="1">
      <c r="A922" s="156">
        <v>2008.0</v>
      </c>
      <c r="B922" s="156" t="s">
        <v>135</v>
      </c>
      <c r="C922" s="156">
        <v>70.0</v>
      </c>
      <c r="D922" s="156">
        <v>3.05357142857143</v>
      </c>
    </row>
    <row r="923" ht="15.75" customHeight="1">
      <c r="A923" s="156">
        <v>2008.0</v>
      </c>
      <c r="B923" s="156" t="s">
        <v>135</v>
      </c>
      <c r="C923" s="156">
        <v>75.0</v>
      </c>
      <c r="D923" s="156">
        <v>2.03571428571429</v>
      </c>
    </row>
    <row r="924" ht="15.75" customHeight="1">
      <c r="A924" s="156">
        <v>2008.0</v>
      </c>
      <c r="B924" s="156" t="s">
        <v>135</v>
      </c>
      <c r="C924" s="156">
        <v>80.0</v>
      </c>
      <c r="D924" s="156">
        <v>0.0</v>
      </c>
    </row>
    <row r="925" ht="15.75" customHeight="1">
      <c r="A925" s="156">
        <v>2008.0</v>
      </c>
      <c r="B925" s="156" t="s">
        <v>135</v>
      </c>
      <c r="C925" s="156">
        <v>85.0</v>
      </c>
      <c r="D925" s="156">
        <v>1.01785714285714</v>
      </c>
    </row>
    <row r="926" ht="15.75" customHeight="1">
      <c r="A926" s="156">
        <v>2010.0</v>
      </c>
      <c r="B926" s="156" t="s">
        <v>135</v>
      </c>
      <c r="C926" s="156">
        <v>0.0</v>
      </c>
      <c r="D926" s="156">
        <v>1.38967048945953</v>
      </c>
    </row>
    <row r="927" ht="15.75" customHeight="1">
      <c r="A927" s="156">
        <v>2010.0</v>
      </c>
      <c r="B927" s="156" t="s">
        <v>135</v>
      </c>
      <c r="C927" s="156">
        <v>1.0</v>
      </c>
      <c r="D927" s="156">
        <v>2.06400742115028</v>
      </c>
    </row>
    <row r="928" ht="15.75" customHeight="1">
      <c r="A928" s="156">
        <v>2010.0</v>
      </c>
      <c r="B928" s="156" t="s">
        <v>135</v>
      </c>
      <c r="C928" s="156">
        <v>5.0</v>
      </c>
      <c r="D928" s="156">
        <v>2.17500674538054</v>
      </c>
    </row>
    <row r="929" ht="15.75" customHeight="1">
      <c r="A929" s="156">
        <v>2010.0</v>
      </c>
      <c r="B929" s="156" t="s">
        <v>135</v>
      </c>
      <c r="C929" s="156">
        <v>10.0</v>
      </c>
      <c r="D929" s="156">
        <v>4.24968207005587</v>
      </c>
    </row>
    <row r="930" ht="15.75" customHeight="1">
      <c r="A930" s="156">
        <v>2010.0</v>
      </c>
      <c r="B930" s="156" t="s">
        <v>135</v>
      </c>
      <c r="C930" s="156">
        <v>15.0</v>
      </c>
      <c r="D930" s="156">
        <v>13.368368636211</v>
      </c>
    </row>
    <row r="931" ht="15.75" customHeight="1">
      <c r="A931" s="156">
        <v>2010.0</v>
      </c>
      <c r="B931" s="156" t="s">
        <v>135</v>
      </c>
      <c r="C931" s="156">
        <v>20.0</v>
      </c>
      <c r="D931" s="156">
        <v>14.4703750449383</v>
      </c>
    </row>
    <row r="932" ht="15.75" customHeight="1">
      <c r="A932" s="156">
        <v>2010.0</v>
      </c>
      <c r="B932" s="156" t="s">
        <v>135</v>
      </c>
      <c r="C932" s="156">
        <v>25.0</v>
      </c>
      <c r="D932" s="156">
        <v>12.6880364275183</v>
      </c>
    </row>
    <row r="933" ht="15.75" customHeight="1">
      <c r="A933" s="156">
        <v>2010.0</v>
      </c>
      <c r="B933" s="156" t="s">
        <v>135</v>
      </c>
      <c r="C933" s="156">
        <v>30.0</v>
      </c>
      <c r="D933" s="156">
        <v>7.05635413302697</v>
      </c>
    </row>
    <row r="934" ht="15.75" customHeight="1">
      <c r="A934" s="156">
        <v>2010.0</v>
      </c>
      <c r="B934" s="156" t="s">
        <v>135</v>
      </c>
      <c r="C934" s="156">
        <v>35.0</v>
      </c>
      <c r="D934" s="156">
        <v>11.4197700272936</v>
      </c>
    </row>
    <row r="935" ht="15.75" customHeight="1">
      <c r="A935" s="156">
        <v>2010.0</v>
      </c>
      <c r="B935" s="156" t="s">
        <v>135</v>
      </c>
      <c r="C935" s="156">
        <v>40.0</v>
      </c>
      <c r="D935" s="156">
        <v>7.90466314132631</v>
      </c>
    </row>
    <row r="936" ht="15.75" customHeight="1">
      <c r="A936" s="156">
        <v>2010.0</v>
      </c>
      <c r="B936" s="156" t="s">
        <v>135</v>
      </c>
      <c r="C936" s="156">
        <v>45.0</v>
      </c>
      <c r="D936" s="156">
        <v>7.41102327341039</v>
      </c>
    </row>
    <row r="937" ht="15.75" customHeight="1">
      <c r="A937" s="156">
        <v>2010.0</v>
      </c>
      <c r="B937" s="156" t="s">
        <v>135</v>
      </c>
      <c r="C937" s="156">
        <v>50.0</v>
      </c>
      <c r="D937" s="156">
        <v>5.61801675246531</v>
      </c>
    </row>
    <row r="938" ht="15.75" customHeight="1">
      <c r="A938" s="156">
        <v>2010.0</v>
      </c>
      <c r="B938" s="156" t="s">
        <v>135</v>
      </c>
      <c r="C938" s="156">
        <v>55.0</v>
      </c>
      <c r="D938" s="156">
        <v>3.92234401372447</v>
      </c>
    </row>
    <row r="939" ht="15.75" customHeight="1">
      <c r="A939" s="156">
        <v>2010.0</v>
      </c>
      <c r="B939" s="156" t="s">
        <v>135</v>
      </c>
      <c r="C939" s="156">
        <v>60.0</v>
      </c>
      <c r="D939" s="156">
        <v>3.58901068039114</v>
      </c>
    </row>
    <row r="940" ht="15.75" customHeight="1">
      <c r="A940" s="156">
        <v>2010.0</v>
      </c>
      <c r="B940" s="156" t="s">
        <v>135</v>
      </c>
      <c r="C940" s="156">
        <v>65.0</v>
      </c>
      <c r="D940" s="156">
        <v>4.26634525058285</v>
      </c>
    </row>
    <row r="941" ht="15.75" customHeight="1">
      <c r="A941" s="156">
        <v>2010.0</v>
      </c>
      <c r="B941" s="156" t="s">
        <v>135</v>
      </c>
      <c r="C941" s="156">
        <v>70.0</v>
      </c>
      <c r="D941" s="156">
        <v>2.08067060167726</v>
      </c>
    </row>
    <row r="942" ht="15.75" customHeight="1">
      <c r="A942" s="156">
        <v>2010.0</v>
      </c>
      <c r="B942" s="156" t="s">
        <v>135</v>
      </c>
      <c r="C942" s="156">
        <v>75.0</v>
      </c>
      <c r="D942" s="156">
        <v>1.78233861742004</v>
      </c>
    </row>
    <row r="943" ht="15.75" customHeight="1">
      <c r="A943" s="156">
        <v>2010.0</v>
      </c>
      <c r="B943" s="156" t="s">
        <v>135</v>
      </c>
      <c r="C943" s="156">
        <v>80.0</v>
      </c>
      <c r="D943" s="156">
        <v>1.06850387890173</v>
      </c>
    </row>
    <row r="944" ht="15.75" customHeight="1">
      <c r="A944" s="156">
        <v>2010.0</v>
      </c>
      <c r="B944" s="156" t="s">
        <v>135</v>
      </c>
      <c r="C944" s="156">
        <v>85.0</v>
      </c>
      <c r="D944" s="156">
        <v>1.42467183853564</v>
      </c>
    </row>
    <row r="945" ht="15.75" customHeight="1">
      <c r="A945" s="156">
        <v>2012.0</v>
      </c>
      <c r="B945" s="156" t="s">
        <v>135</v>
      </c>
      <c r="C945" s="156">
        <v>0.0</v>
      </c>
      <c r="D945" s="156">
        <v>0.0</v>
      </c>
    </row>
    <row r="946" ht="15.75" customHeight="1">
      <c r="A946" s="156">
        <v>2012.0</v>
      </c>
      <c r="B946" s="156" t="s">
        <v>135</v>
      </c>
      <c r="C946" s="156">
        <v>1.0</v>
      </c>
      <c r="D946" s="156">
        <v>1.12594163680246</v>
      </c>
    </row>
    <row r="947" ht="15.75" customHeight="1">
      <c r="A947" s="156">
        <v>2012.0</v>
      </c>
      <c r="B947" s="156" t="s">
        <v>135</v>
      </c>
      <c r="C947" s="156">
        <v>5.0</v>
      </c>
      <c r="D947" s="156">
        <v>3.37782491040737</v>
      </c>
    </row>
    <row r="948" ht="15.75" customHeight="1">
      <c r="A948" s="156">
        <v>2012.0</v>
      </c>
      <c r="B948" s="156" t="s">
        <v>135</v>
      </c>
      <c r="C948" s="156">
        <v>10.0</v>
      </c>
      <c r="D948" s="156">
        <v>6.75564982081474</v>
      </c>
    </row>
    <row r="949" ht="15.75" customHeight="1">
      <c r="A949" s="156">
        <v>2012.0</v>
      </c>
      <c r="B949" s="156" t="s">
        <v>135</v>
      </c>
      <c r="C949" s="156">
        <v>15.0</v>
      </c>
      <c r="D949" s="156">
        <v>18.0150661888393</v>
      </c>
    </row>
    <row r="950" ht="15.75" customHeight="1">
      <c r="A950" s="156">
        <v>2012.0</v>
      </c>
      <c r="B950" s="156" t="s">
        <v>135</v>
      </c>
      <c r="C950" s="156">
        <v>20.0</v>
      </c>
      <c r="D950" s="156">
        <v>15.7631829152344</v>
      </c>
    </row>
    <row r="951" ht="15.75" customHeight="1">
      <c r="A951" s="156">
        <v>2012.0</v>
      </c>
      <c r="B951" s="156" t="s">
        <v>135</v>
      </c>
      <c r="C951" s="156">
        <v>25.0</v>
      </c>
      <c r="D951" s="156">
        <v>21.3928910992467</v>
      </c>
    </row>
    <row r="952" ht="15.75" customHeight="1">
      <c r="A952" s="156">
        <v>2012.0</v>
      </c>
      <c r="B952" s="156" t="s">
        <v>135</v>
      </c>
      <c r="C952" s="156">
        <v>30.0</v>
      </c>
      <c r="D952" s="156">
        <v>15.7631829152344</v>
      </c>
    </row>
    <row r="953" ht="15.75" customHeight="1">
      <c r="A953" s="156">
        <v>2012.0</v>
      </c>
      <c r="B953" s="156" t="s">
        <v>135</v>
      </c>
      <c r="C953" s="156">
        <v>35.0</v>
      </c>
      <c r="D953" s="156">
        <v>16.8891245520369</v>
      </c>
    </row>
    <row r="954" ht="15.75" customHeight="1">
      <c r="A954" s="156">
        <v>2012.0</v>
      </c>
      <c r="B954" s="156" t="s">
        <v>135</v>
      </c>
      <c r="C954" s="156">
        <v>40.0</v>
      </c>
      <c r="D954" s="156">
        <v>9.00753309441966</v>
      </c>
    </row>
    <row r="955" ht="15.75" customHeight="1">
      <c r="A955" s="156">
        <v>2012.0</v>
      </c>
      <c r="B955" s="156" t="s">
        <v>135</v>
      </c>
      <c r="C955" s="156">
        <v>45.0</v>
      </c>
      <c r="D955" s="156">
        <v>10.1334747312221</v>
      </c>
    </row>
    <row r="956" ht="15.75" customHeight="1">
      <c r="A956" s="156">
        <v>2012.0</v>
      </c>
      <c r="B956" s="156" t="s">
        <v>135</v>
      </c>
      <c r="C956" s="156">
        <v>50.0</v>
      </c>
      <c r="D956" s="156">
        <v>5.62970818401229</v>
      </c>
    </row>
    <row r="957" ht="15.75" customHeight="1">
      <c r="A957" s="156">
        <v>2012.0</v>
      </c>
      <c r="B957" s="156" t="s">
        <v>135</v>
      </c>
      <c r="C957" s="156">
        <v>55.0</v>
      </c>
      <c r="D957" s="156">
        <v>6.75564982081474</v>
      </c>
    </row>
    <row r="958" ht="15.75" customHeight="1">
      <c r="A958" s="156">
        <v>2012.0</v>
      </c>
      <c r="B958" s="156" t="s">
        <v>135</v>
      </c>
      <c r="C958" s="156">
        <v>60.0</v>
      </c>
      <c r="D958" s="156">
        <v>1.12594163680246</v>
      </c>
    </row>
    <row r="959" ht="15.75" customHeight="1">
      <c r="A959" s="156">
        <v>2012.0</v>
      </c>
      <c r="B959" s="156" t="s">
        <v>135</v>
      </c>
      <c r="C959" s="156">
        <v>65.0</v>
      </c>
      <c r="D959" s="156">
        <v>2.25188327360492</v>
      </c>
    </row>
    <row r="960" ht="15.75" customHeight="1">
      <c r="A960" s="156">
        <v>2012.0</v>
      </c>
      <c r="B960" s="156" t="s">
        <v>135</v>
      </c>
      <c r="C960" s="156">
        <v>70.0</v>
      </c>
      <c r="D960" s="156">
        <v>0.0</v>
      </c>
    </row>
    <row r="961" ht="15.75" customHeight="1">
      <c r="A961" s="156">
        <v>2012.0</v>
      </c>
      <c r="B961" s="156" t="s">
        <v>135</v>
      </c>
      <c r="C961" s="156">
        <v>75.0</v>
      </c>
      <c r="D961" s="156">
        <v>1.12594163680246</v>
      </c>
    </row>
    <row r="962" ht="15.75" customHeight="1">
      <c r="A962" s="156">
        <v>2012.0</v>
      </c>
      <c r="B962" s="156" t="s">
        <v>135</v>
      </c>
      <c r="C962" s="156">
        <v>80.0</v>
      </c>
      <c r="D962" s="156">
        <v>1.12594163680246</v>
      </c>
    </row>
    <row r="963" ht="15.75" customHeight="1">
      <c r="A963" s="156">
        <v>2012.0</v>
      </c>
      <c r="B963" s="156" t="s">
        <v>135</v>
      </c>
      <c r="C963" s="156">
        <v>85.0</v>
      </c>
      <c r="D963" s="156">
        <v>0.0</v>
      </c>
    </row>
    <row r="964" ht="15.75" customHeight="1">
      <c r="A964" s="156">
        <v>2013.0</v>
      </c>
      <c r="B964" s="156" t="s">
        <v>135</v>
      </c>
      <c r="C964" s="156">
        <v>0.0</v>
      </c>
      <c r="D964" s="156">
        <v>1.04837625979843</v>
      </c>
    </row>
    <row r="965" ht="15.75" customHeight="1">
      <c r="A965" s="156">
        <v>2013.0</v>
      </c>
      <c r="B965" s="156" t="s">
        <v>135</v>
      </c>
      <c r="C965" s="156">
        <v>1.0</v>
      </c>
      <c r="D965" s="156">
        <v>1.04837625979843</v>
      </c>
    </row>
    <row r="966" ht="15.75" customHeight="1">
      <c r="A966" s="156">
        <v>2013.0</v>
      </c>
      <c r="B966" s="156" t="s">
        <v>135</v>
      </c>
      <c r="C966" s="156">
        <v>5.0</v>
      </c>
      <c r="D966" s="156">
        <v>1.04837625979843</v>
      </c>
    </row>
    <row r="967" ht="15.75" customHeight="1">
      <c r="A967" s="156">
        <v>2013.0</v>
      </c>
      <c r="B967" s="156" t="s">
        <v>135</v>
      </c>
      <c r="C967" s="156">
        <v>10.0</v>
      </c>
      <c r="D967" s="156">
        <v>1.04837625979843</v>
      </c>
    </row>
    <row r="968" ht="15.75" customHeight="1">
      <c r="A968" s="156">
        <v>2013.0</v>
      </c>
      <c r="B968" s="156" t="s">
        <v>135</v>
      </c>
      <c r="C968" s="156">
        <v>15.0</v>
      </c>
      <c r="D968" s="156">
        <v>16.7740201567749</v>
      </c>
    </row>
    <row r="969" ht="15.75" customHeight="1">
      <c r="A969" s="156">
        <v>2013.0</v>
      </c>
      <c r="B969" s="156" t="s">
        <v>135</v>
      </c>
      <c r="C969" s="156">
        <v>20.0</v>
      </c>
      <c r="D969" s="156">
        <v>13.6288913773796</v>
      </c>
    </row>
    <row r="970" ht="15.75" customHeight="1">
      <c r="A970" s="156">
        <v>2013.0</v>
      </c>
      <c r="B970" s="156" t="s">
        <v>135</v>
      </c>
      <c r="C970" s="156">
        <v>25.0</v>
      </c>
      <c r="D970" s="156">
        <v>8.38701007838746</v>
      </c>
    </row>
    <row r="971" ht="15.75" customHeight="1">
      <c r="A971" s="156">
        <v>2013.0</v>
      </c>
      <c r="B971" s="156" t="s">
        <v>135</v>
      </c>
      <c r="C971" s="156">
        <v>30.0</v>
      </c>
      <c r="D971" s="156">
        <v>10.4837625979843</v>
      </c>
    </row>
    <row r="972" ht="15.75" customHeight="1">
      <c r="A972" s="156">
        <v>2013.0</v>
      </c>
      <c r="B972" s="156" t="s">
        <v>135</v>
      </c>
      <c r="C972" s="156">
        <v>35.0</v>
      </c>
      <c r="D972" s="156">
        <v>6.29025755879059</v>
      </c>
    </row>
    <row r="973" ht="15.75" customHeight="1">
      <c r="A973" s="156">
        <v>2013.0</v>
      </c>
      <c r="B973" s="156" t="s">
        <v>135</v>
      </c>
      <c r="C973" s="156">
        <v>40.0</v>
      </c>
      <c r="D973" s="156">
        <v>9.43538633818589</v>
      </c>
    </row>
    <row r="974" ht="15.75" customHeight="1">
      <c r="A974" s="156">
        <v>2013.0</v>
      </c>
      <c r="B974" s="156" t="s">
        <v>135</v>
      </c>
      <c r="C974" s="156">
        <v>45.0</v>
      </c>
      <c r="D974" s="156">
        <v>6.29025755879059</v>
      </c>
    </row>
    <row r="975" ht="15.75" customHeight="1">
      <c r="A975" s="156">
        <v>2013.0</v>
      </c>
      <c r="B975" s="156" t="s">
        <v>135</v>
      </c>
      <c r="C975" s="156">
        <v>50.0</v>
      </c>
      <c r="D975" s="156">
        <v>8.38701007838746</v>
      </c>
    </row>
    <row r="976" ht="15.75" customHeight="1">
      <c r="A976" s="156">
        <v>2013.0</v>
      </c>
      <c r="B976" s="156" t="s">
        <v>135</v>
      </c>
      <c r="C976" s="156">
        <v>55.0</v>
      </c>
      <c r="D976" s="156">
        <v>7.33863381858903</v>
      </c>
    </row>
    <row r="977" ht="15.75" customHeight="1">
      <c r="A977" s="156">
        <v>2013.0</v>
      </c>
      <c r="B977" s="156" t="s">
        <v>135</v>
      </c>
      <c r="C977" s="156">
        <v>60.0</v>
      </c>
      <c r="D977" s="156">
        <v>1.04837625979843</v>
      </c>
    </row>
    <row r="978" ht="15.75" customHeight="1">
      <c r="A978" s="156">
        <v>2013.0</v>
      </c>
      <c r="B978" s="156" t="s">
        <v>135</v>
      </c>
      <c r="C978" s="156">
        <v>65.0</v>
      </c>
      <c r="D978" s="156">
        <v>3.1451287793953</v>
      </c>
    </row>
    <row r="979" ht="15.75" customHeight="1">
      <c r="A979" s="156">
        <v>2013.0</v>
      </c>
      <c r="B979" s="156" t="s">
        <v>135</v>
      </c>
      <c r="C979" s="156">
        <v>70.0</v>
      </c>
      <c r="D979" s="156">
        <v>3.1451287793953</v>
      </c>
    </row>
    <row r="980" ht="15.75" customHeight="1">
      <c r="A980" s="156">
        <v>2013.0</v>
      </c>
      <c r="B980" s="156" t="s">
        <v>135</v>
      </c>
      <c r="C980" s="156">
        <v>75.0</v>
      </c>
      <c r="D980" s="156">
        <v>0.0</v>
      </c>
    </row>
    <row r="981" ht="15.75" customHeight="1">
      <c r="A981" s="156">
        <v>2013.0</v>
      </c>
      <c r="B981" s="156" t="s">
        <v>135</v>
      </c>
      <c r="C981" s="156">
        <v>80.0</v>
      </c>
      <c r="D981" s="156">
        <v>0.0</v>
      </c>
    </row>
    <row r="982" ht="15.75" customHeight="1">
      <c r="A982" s="156">
        <v>2013.0</v>
      </c>
      <c r="B982" s="156" t="s">
        <v>135</v>
      </c>
      <c r="C982" s="156">
        <v>85.0</v>
      </c>
      <c r="D982" s="156">
        <v>1.04837625979843</v>
      </c>
    </row>
    <row r="983" ht="15.75" customHeight="1">
      <c r="A983" s="156">
        <v>2014.0</v>
      </c>
      <c r="B983" s="156" t="s">
        <v>135</v>
      </c>
      <c r="C983" s="156">
        <v>1.0</v>
      </c>
      <c r="D983" s="156">
        <v>1.09027777777778</v>
      </c>
    </row>
    <row r="984" ht="15.75" customHeight="1">
      <c r="A984" s="156">
        <v>2014.0</v>
      </c>
      <c r="B984" s="156" t="s">
        <v>135</v>
      </c>
      <c r="C984" s="156">
        <v>5.0</v>
      </c>
      <c r="D984" s="156">
        <v>1.09027777777778</v>
      </c>
    </row>
    <row r="985" ht="15.75" customHeight="1">
      <c r="A985" s="156">
        <v>2014.0</v>
      </c>
      <c r="B985" s="156" t="s">
        <v>135</v>
      </c>
      <c r="C985" s="156">
        <v>10.0</v>
      </c>
      <c r="D985" s="156">
        <v>0.0</v>
      </c>
    </row>
    <row r="986" ht="15.75" customHeight="1">
      <c r="A986" s="156">
        <v>2014.0</v>
      </c>
      <c r="B986" s="156" t="s">
        <v>135</v>
      </c>
      <c r="C986" s="156">
        <v>15.0</v>
      </c>
      <c r="D986" s="156">
        <v>5.45138888888889</v>
      </c>
    </row>
    <row r="987" ht="15.75" customHeight="1">
      <c r="A987" s="156">
        <v>2014.0</v>
      </c>
      <c r="B987" s="156" t="s">
        <v>135</v>
      </c>
      <c r="C987" s="156">
        <v>20.0</v>
      </c>
      <c r="D987" s="156">
        <v>15.2638888888889</v>
      </c>
    </row>
    <row r="988" ht="15.75" customHeight="1">
      <c r="A988" s="156">
        <v>2014.0</v>
      </c>
      <c r="B988" s="156" t="s">
        <v>135</v>
      </c>
      <c r="C988" s="156">
        <v>25.0</v>
      </c>
      <c r="D988" s="156">
        <v>11.9930555555556</v>
      </c>
    </row>
    <row r="989" ht="15.75" customHeight="1">
      <c r="A989" s="156">
        <v>2014.0</v>
      </c>
      <c r="B989" s="156" t="s">
        <v>135</v>
      </c>
      <c r="C989" s="156">
        <v>30.0</v>
      </c>
      <c r="D989" s="156">
        <v>11.9930555555556</v>
      </c>
    </row>
    <row r="990" ht="15.75" customHeight="1">
      <c r="A990" s="156">
        <v>2014.0</v>
      </c>
      <c r="B990" s="156" t="s">
        <v>135</v>
      </c>
      <c r="C990" s="156">
        <v>35.0</v>
      </c>
      <c r="D990" s="156">
        <v>7.63194444444444</v>
      </c>
    </row>
    <row r="991" ht="15.75" customHeight="1">
      <c r="A991" s="156">
        <v>2014.0</v>
      </c>
      <c r="B991" s="156" t="s">
        <v>135</v>
      </c>
      <c r="C991" s="156">
        <v>40.0</v>
      </c>
      <c r="D991" s="156">
        <v>9.8125</v>
      </c>
    </row>
    <row r="992" ht="15.75" customHeight="1">
      <c r="A992" s="156">
        <v>2014.0</v>
      </c>
      <c r="B992" s="156" t="s">
        <v>135</v>
      </c>
      <c r="C992" s="156">
        <v>45.0</v>
      </c>
      <c r="D992" s="156">
        <v>10.9027777777778</v>
      </c>
    </row>
    <row r="993" ht="15.75" customHeight="1">
      <c r="A993" s="156">
        <v>2014.0</v>
      </c>
      <c r="B993" s="156" t="s">
        <v>135</v>
      </c>
      <c r="C993" s="156">
        <v>50.0</v>
      </c>
      <c r="D993" s="156">
        <v>7.63194444444444</v>
      </c>
    </row>
    <row r="994" ht="15.75" customHeight="1">
      <c r="A994" s="156">
        <v>2014.0</v>
      </c>
      <c r="B994" s="156" t="s">
        <v>135</v>
      </c>
      <c r="C994" s="156">
        <v>55.0</v>
      </c>
      <c r="D994" s="156">
        <v>4.36111111111111</v>
      </c>
    </row>
    <row r="995" ht="15.75" customHeight="1">
      <c r="A995" s="156">
        <v>2014.0</v>
      </c>
      <c r="B995" s="156" t="s">
        <v>135</v>
      </c>
      <c r="C995" s="156">
        <v>60.0</v>
      </c>
      <c r="D995" s="156">
        <v>2.18055555555556</v>
      </c>
    </row>
    <row r="996" ht="15.75" customHeight="1">
      <c r="A996" s="156">
        <v>2014.0</v>
      </c>
      <c r="B996" s="156" t="s">
        <v>135</v>
      </c>
      <c r="C996" s="156">
        <v>65.0</v>
      </c>
      <c r="D996" s="156">
        <v>2.18055555555556</v>
      </c>
    </row>
    <row r="997" ht="15.75" customHeight="1">
      <c r="A997" s="156">
        <v>2014.0</v>
      </c>
      <c r="B997" s="156" t="s">
        <v>135</v>
      </c>
      <c r="C997" s="156">
        <v>70.0</v>
      </c>
      <c r="D997" s="156">
        <v>1.09027777777778</v>
      </c>
    </row>
    <row r="998" ht="15.75" customHeight="1">
      <c r="A998" s="156">
        <v>2014.0</v>
      </c>
      <c r="B998" s="156" t="s">
        <v>135</v>
      </c>
      <c r="C998" s="156">
        <v>75.0</v>
      </c>
      <c r="D998" s="156">
        <v>3.27083333333333</v>
      </c>
    </row>
    <row r="999" ht="15.75" customHeight="1">
      <c r="A999" s="156">
        <v>2014.0</v>
      </c>
      <c r="B999" s="156" t="s">
        <v>135</v>
      </c>
      <c r="C999" s="156">
        <v>80.0</v>
      </c>
      <c r="D999" s="156">
        <v>2.18055555555556</v>
      </c>
    </row>
    <row r="1000" ht="15.75" customHeight="1">
      <c r="A1000" s="156">
        <v>2014.0</v>
      </c>
      <c r="B1000" s="156" t="s">
        <v>135</v>
      </c>
      <c r="C1000" s="156">
        <v>85.0</v>
      </c>
      <c r="D1000" s="156">
        <v>0.0</v>
      </c>
    </row>
    <row r="1001" ht="15.75" customHeight="1">
      <c r="A1001" s="156">
        <v>2015.0</v>
      </c>
      <c r="B1001" s="156" t="s">
        <v>135</v>
      </c>
      <c r="C1001" s="156">
        <v>1.0</v>
      </c>
      <c r="D1001" s="156">
        <v>1.04138695571842</v>
      </c>
    </row>
    <row r="1002" ht="15.75" customHeight="1">
      <c r="A1002" s="156">
        <v>2015.0</v>
      </c>
      <c r="B1002" s="156" t="s">
        <v>135</v>
      </c>
      <c r="C1002" s="156">
        <v>5.0</v>
      </c>
      <c r="D1002" s="156">
        <v>1.04138695571842</v>
      </c>
    </row>
    <row r="1003" ht="15.75" customHeight="1">
      <c r="A1003" s="156">
        <v>2015.0</v>
      </c>
      <c r="B1003" s="156" t="s">
        <v>135</v>
      </c>
      <c r="C1003" s="156">
        <v>10.0</v>
      </c>
      <c r="D1003" s="156">
        <v>1.04138695571842</v>
      </c>
    </row>
    <row r="1004" ht="15.75" customHeight="1">
      <c r="A1004" s="156">
        <v>2015.0</v>
      </c>
      <c r="B1004" s="156" t="s">
        <v>135</v>
      </c>
      <c r="C1004" s="156">
        <v>15.0</v>
      </c>
      <c r="D1004" s="156">
        <v>12.4966434686211</v>
      </c>
    </row>
    <row r="1005" ht="15.75" customHeight="1">
      <c r="A1005" s="156">
        <v>2015.0</v>
      </c>
      <c r="B1005" s="156" t="s">
        <v>135</v>
      </c>
      <c r="C1005" s="156">
        <v>20.0</v>
      </c>
      <c r="D1005" s="156">
        <v>13.5380304243395</v>
      </c>
    </row>
    <row r="1006" ht="15.75" customHeight="1">
      <c r="A1006" s="156">
        <v>2015.0</v>
      </c>
      <c r="B1006" s="156" t="s">
        <v>135</v>
      </c>
      <c r="C1006" s="156">
        <v>25.0</v>
      </c>
      <c r="D1006" s="156">
        <v>17.7035782472132</v>
      </c>
    </row>
    <row r="1007" ht="15.75" customHeight="1">
      <c r="A1007" s="156">
        <v>2015.0</v>
      </c>
      <c r="B1007" s="156" t="s">
        <v>135</v>
      </c>
      <c r="C1007" s="156">
        <v>30.0</v>
      </c>
      <c r="D1007" s="156">
        <v>12.4966434686211</v>
      </c>
    </row>
    <row r="1008" ht="15.75" customHeight="1">
      <c r="A1008" s="156">
        <v>2015.0</v>
      </c>
      <c r="B1008" s="156" t="s">
        <v>135</v>
      </c>
      <c r="C1008" s="156">
        <v>35.0</v>
      </c>
      <c r="D1008" s="156">
        <v>10.5006518034941</v>
      </c>
    </row>
    <row r="1009" ht="15.75" customHeight="1">
      <c r="A1009" s="156">
        <v>2015.0</v>
      </c>
      <c r="B1009" s="156" t="s">
        <v>135</v>
      </c>
      <c r="C1009" s="156">
        <v>40.0</v>
      </c>
      <c r="D1009" s="156">
        <v>12.4966434686211</v>
      </c>
    </row>
    <row r="1010" ht="15.75" customHeight="1">
      <c r="A1010" s="156">
        <v>2015.0</v>
      </c>
      <c r="B1010" s="156" t="s">
        <v>135</v>
      </c>
      <c r="C1010" s="156">
        <v>45.0</v>
      </c>
      <c r="D1010" s="156">
        <v>5.2069347785921</v>
      </c>
    </row>
    <row r="1011" ht="15.75" customHeight="1">
      <c r="A1011" s="156">
        <v>2015.0</v>
      </c>
      <c r="B1011" s="156" t="s">
        <v>135</v>
      </c>
      <c r="C1011" s="156">
        <v>50.0</v>
      </c>
      <c r="D1011" s="156">
        <v>8.33109564574737</v>
      </c>
    </row>
    <row r="1012" ht="15.75" customHeight="1">
      <c r="A1012" s="156">
        <v>2015.0</v>
      </c>
      <c r="B1012" s="156" t="s">
        <v>135</v>
      </c>
      <c r="C1012" s="156">
        <v>55.0</v>
      </c>
      <c r="D1012" s="156">
        <v>2.08277391143684</v>
      </c>
    </row>
    <row r="1013" ht="15.75" customHeight="1">
      <c r="A1013" s="156">
        <v>2015.0</v>
      </c>
      <c r="B1013" s="156" t="s">
        <v>135</v>
      </c>
      <c r="C1013" s="156">
        <v>60.0</v>
      </c>
      <c r="D1013" s="156">
        <v>1.04138695571842</v>
      </c>
    </row>
    <row r="1014" ht="15.75" customHeight="1">
      <c r="A1014" s="156">
        <v>2015.0</v>
      </c>
      <c r="B1014" s="156" t="s">
        <v>135</v>
      </c>
      <c r="C1014" s="156">
        <v>65.0</v>
      </c>
      <c r="D1014" s="156">
        <v>0.0</v>
      </c>
    </row>
    <row r="1015" ht="15.75" customHeight="1">
      <c r="A1015" s="156">
        <v>2015.0</v>
      </c>
      <c r="B1015" s="156" t="s">
        <v>135</v>
      </c>
      <c r="C1015" s="156">
        <v>70.0</v>
      </c>
      <c r="D1015" s="156">
        <v>3.12416086715526</v>
      </c>
    </row>
    <row r="1016" ht="15.75" customHeight="1">
      <c r="A1016" s="156">
        <v>2015.0</v>
      </c>
      <c r="B1016" s="156" t="s">
        <v>135</v>
      </c>
      <c r="C1016" s="156">
        <v>75.0</v>
      </c>
      <c r="D1016" s="156">
        <v>2.08277391143684</v>
      </c>
    </row>
    <row r="1017" ht="15.75" customHeight="1">
      <c r="A1017" s="156">
        <v>2015.0</v>
      </c>
      <c r="B1017" s="156" t="s">
        <v>135</v>
      </c>
      <c r="C1017" s="156">
        <v>80.0</v>
      </c>
      <c r="D1017" s="156">
        <v>4.16554782287368</v>
      </c>
    </row>
    <row r="1018" ht="15.75" customHeight="1">
      <c r="A1018" s="156">
        <v>2015.0</v>
      </c>
      <c r="B1018" s="156" t="s">
        <v>135</v>
      </c>
      <c r="C1018" s="156">
        <v>85.0</v>
      </c>
      <c r="D1018" s="156">
        <v>0.0</v>
      </c>
    </row>
    <row r="1019" ht="15.75" customHeight="1">
      <c r="A1019" s="156">
        <v>2016.0</v>
      </c>
      <c r="B1019" s="156" t="s">
        <v>135</v>
      </c>
      <c r="C1019" s="156">
        <v>0.0</v>
      </c>
      <c r="D1019" s="156">
        <v>2.11490209872201</v>
      </c>
    </row>
    <row r="1020" ht="15.75" customHeight="1">
      <c r="A1020" s="156">
        <v>2016.0</v>
      </c>
      <c r="B1020" s="156" t="s">
        <v>135</v>
      </c>
      <c r="C1020" s="156">
        <v>5.0</v>
      </c>
      <c r="D1020" s="156">
        <v>1.057451049361</v>
      </c>
    </row>
    <row r="1021" ht="15.75" customHeight="1">
      <c r="A1021" s="156">
        <v>2016.0</v>
      </c>
      <c r="B1021" s="156" t="s">
        <v>135</v>
      </c>
      <c r="C1021" s="156">
        <v>10.0</v>
      </c>
      <c r="D1021" s="156">
        <v>3.17235314808301</v>
      </c>
    </row>
    <row r="1022" ht="15.75" customHeight="1">
      <c r="A1022" s="156">
        <v>2016.0</v>
      </c>
      <c r="B1022" s="156" t="s">
        <v>135</v>
      </c>
      <c r="C1022" s="156">
        <v>15.0</v>
      </c>
      <c r="D1022" s="156">
        <v>16.9192167897761</v>
      </c>
    </row>
    <row r="1023" ht="15.75" customHeight="1">
      <c r="A1023" s="156">
        <v>2016.0</v>
      </c>
      <c r="B1023" s="156" t="s">
        <v>135</v>
      </c>
      <c r="C1023" s="156">
        <v>20.0</v>
      </c>
      <c r="D1023" s="156">
        <v>24.3213741353031</v>
      </c>
    </row>
    <row r="1024" ht="15.75" customHeight="1">
      <c r="A1024" s="156">
        <v>2016.0</v>
      </c>
      <c r="B1024" s="156" t="s">
        <v>135</v>
      </c>
      <c r="C1024" s="156">
        <v>25.0</v>
      </c>
      <c r="D1024" s="156">
        <v>16.0203833978192</v>
      </c>
    </row>
    <row r="1025" ht="15.75" customHeight="1">
      <c r="A1025" s="156">
        <v>2016.0</v>
      </c>
      <c r="B1025" s="156" t="s">
        <v>135</v>
      </c>
      <c r="C1025" s="156">
        <v>30.0</v>
      </c>
      <c r="D1025" s="156">
        <v>25.3788251846641</v>
      </c>
    </row>
    <row r="1026" ht="15.75" customHeight="1">
      <c r="A1026" s="156">
        <v>2016.0</v>
      </c>
      <c r="B1026" s="156" t="s">
        <v>135</v>
      </c>
      <c r="C1026" s="156">
        <v>35.0</v>
      </c>
      <c r="D1026" s="156">
        <v>12.689412592332</v>
      </c>
    </row>
    <row r="1027" ht="15.75" customHeight="1">
      <c r="A1027" s="156">
        <v>2016.0</v>
      </c>
      <c r="B1027" s="156" t="s">
        <v>135</v>
      </c>
      <c r="C1027" s="156">
        <v>40.0</v>
      </c>
      <c r="D1027" s="156">
        <v>11.631961542971</v>
      </c>
    </row>
    <row r="1028" ht="15.75" customHeight="1">
      <c r="A1028" s="156">
        <v>2016.0</v>
      </c>
      <c r="B1028" s="156" t="s">
        <v>135</v>
      </c>
      <c r="C1028" s="156">
        <v>45.0</v>
      </c>
      <c r="D1028" s="156">
        <v>10.57451049361</v>
      </c>
    </row>
    <row r="1029" ht="15.75" customHeight="1">
      <c r="A1029" s="156">
        <v>2016.0</v>
      </c>
      <c r="B1029" s="156" t="s">
        <v>135</v>
      </c>
      <c r="C1029" s="156">
        <v>50.0</v>
      </c>
      <c r="D1029" s="156">
        <v>5.28725524680502</v>
      </c>
    </row>
    <row r="1030" ht="15.75" customHeight="1">
      <c r="A1030" s="156">
        <v>2016.0</v>
      </c>
      <c r="B1030" s="156" t="s">
        <v>135</v>
      </c>
      <c r="C1030" s="156">
        <v>55.0</v>
      </c>
      <c r="D1030" s="156">
        <v>7.40215734552703</v>
      </c>
    </row>
    <row r="1031" ht="15.75" customHeight="1">
      <c r="A1031" s="156">
        <v>2016.0</v>
      </c>
      <c r="B1031" s="156" t="s">
        <v>135</v>
      </c>
      <c r="C1031" s="156">
        <v>60.0</v>
      </c>
      <c r="D1031" s="156">
        <v>3.17235314808301</v>
      </c>
    </row>
    <row r="1032" ht="15.75" customHeight="1">
      <c r="A1032" s="156">
        <v>2016.0</v>
      </c>
      <c r="B1032" s="156" t="s">
        <v>135</v>
      </c>
      <c r="C1032" s="156">
        <v>65.0</v>
      </c>
      <c r="D1032" s="156">
        <v>1.057451049361</v>
      </c>
    </row>
    <row r="1033" ht="15.75" customHeight="1">
      <c r="A1033" s="156">
        <v>2016.0</v>
      </c>
      <c r="B1033" s="156" t="s">
        <v>135</v>
      </c>
      <c r="C1033" s="156">
        <v>70.0</v>
      </c>
      <c r="D1033" s="156">
        <v>2.11490209872201</v>
      </c>
    </row>
    <row r="1034" ht="15.75" customHeight="1">
      <c r="A1034" s="156">
        <v>2016.0</v>
      </c>
      <c r="B1034" s="156" t="s">
        <v>135</v>
      </c>
      <c r="C1034" s="156">
        <v>75.0</v>
      </c>
      <c r="D1034" s="156">
        <v>2.11490209872201</v>
      </c>
    </row>
    <row r="1035" ht="15.75" customHeight="1">
      <c r="A1035" s="156">
        <v>2016.0</v>
      </c>
      <c r="B1035" s="156" t="s">
        <v>135</v>
      </c>
      <c r="C1035" s="156">
        <v>80.0</v>
      </c>
      <c r="D1035" s="156">
        <v>4.22980419744401</v>
      </c>
    </row>
    <row r="1036" ht="15.75" customHeight="1">
      <c r="A1036" s="156">
        <v>2016.0</v>
      </c>
      <c r="B1036" s="156" t="s">
        <v>135</v>
      </c>
      <c r="C1036" s="156">
        <v>85.0</v>
      </c>
      <c r="D1036" s="156">
        <v>1.057451049361</v>
      </c>
    </row>
    <row r="1037" ht="15.75" customHeight="1">
      <c r="A1037" s="156">
        <v>2017.0</v>
      </c>
      <c r="B1037" s="156" t="s">
        <v>135</v>
      </c>
      <c r="C1037" s="156">
        <v>0.0</v>
      </c>
      <c r="D1037" s="156">
        <v>0.0</v>
      </c>
    </row>
    <row r="1038" ht="15.75" customHeight="1">
      <c r="A1038" s="156">
        <v>2017.0</v>
      </c>
      <c r="B1038" s="156" t="s">
        <v>135</v>
      </c>
      <c r="C1038" s="156">
        <v>1.0</v>
      </c>
      <c r="D1038" s="156">
        <v>3.03833567087424</v>
      </c>
    </row>
    <row r="1039" ht="15.75" customHeight="1">
      <c r="A1039" s="156">
        <v>2017.0</v>
      </c>
      <c r="B1039" s="156" t="s">
        <v>135</v>
      </c>
      <c r="C1039" s="156">
        <v>5.0</v>
      </c>
      <c r="D1039" s="156">
        <v>4.05111422783232</v>
      </c>
    </row>
    <row r="1040" ht="15.75" customHeight="1">
      <c r="A1040" s="156">
        <v>2017.0</v>
      </c>
      <c r="B1040" s="156" t="s">
        <v>135</v>
      </c>
      <c r="C1040" s="156">
        <v>10.0</v>
      </c>
      <c r="D1040" s="156">
        <v>9.11500701262272</v>
      </c>
    </row>
    <row r="1041" ht="15.75" customHeight="1">
      <c r="A1041" s="156">
        <v>2017.0</v>
      </c>
      <c r="B1041" s="156" t="s">
        <v>135</v>
      </c>
      <c r="C1041" s="156">
        <v>15.0</v>
      </c>
      <c r="D1041" s="156">
        <v>22.2811282530778</v>
      </c>
    </row>
    <row r="1042" ht="15.75" customHeight="1">
      <c r="A1042" s="156">
        <v>2017.0</v>
      </c>
      <c r="B1042" s="156" t="s">
        <v>135</v>
      </c>
      <c r="C1042" s="156">
        <v>20.0</v>
      </c>
      <c r="D1042" s="156">
        <v>38.485585164407</v>
      </c>
    </row>
    <row r="1043" ht="15.75" customHeight="1">
      <c r="A1043" s="156">
        <v>2017.0</v>
      </c>
      <c r="B1043" s="156" t="s">
        <v>135</v>
      </c>
      <c r="C1043" s="156">
        <v>25.0</v>
      </c>
      <c r="D1043" s="156">
        <v>28.3577995948262</v>
      </c>
    </row>
    <row r="1044" ht="15.75" customHeight="1">
      <c r="A1044" s="156">
        <v>2017.0</v>
      </c>
      <c r="B1044" s="156" t="s">
        <v>135</v>
      </c>
      <c r="C1044" s="156">
        <v>30.0</v>
      </c>
      <c r="D1044" s="156">
        <v>22.2811282530778</v>
      </c>
    </row>
    <row r="1045" ht="15.75" customHeight="1">
      <c r="A1045" s="156">
        <v>2017.0</v>
      </c>
      <c r="B1045" s="156" t="s">
        <v>135</v>
      </c>
      <c r="C1045" s="156">
        <v>35.0</v>
      </c>
      <c r="D1045" s="156">
        <v>27.3450210378682</v>
      </c>
    </row>
    <row r="1046" ht="15.75" customHeight="1">
      <c r="A1046" s="156">
        <v>2017.0</v>
      </c>
      <c r="B1046" s="156" t="s">
        <v>135</v>
      </c>
      <c r="C1046" s="156">
        <v>40.0</v>
      </c>
      <c r="D1046" s="156">
        <v>16.2044569113293</v>
      </c>
    </row>
    <row r="1047" ht="15.75" customHeight="1">
      <c r="A1047" s="156">
        <v>2017.0</v>
      </c>
      <c r="B1047" s="156" t="s">
        <v>135</v>
      </c>
      <c r="C1047" s="156">
        <v>45.0</v>
      </c>
      <c r="D1047" s="156">
        <v>8.10222845566464</v>
      </c>
    </row>
    <row r="1048" ht="15.75" customHeight="1">
      <c r="A1048" s="156">
        <v>2017.0</v>
      </c>
      <c r="B1048" s="156" t="s">
        <v>135</v>
      </c>
      <c r="C1048" s="156">
        <v>50.0</v>
      </c>
      <c r="D1048" s="156">
        <v>12.153342683497</v>
      </c>
    </row>
    <row r="1049" ht="15.75" customHeight="1">
      <c r="A1049" s="156">
        <v>2017.0</v>
      </c>
      <c r="B1049" s="156" t="s">
        <v>135</v>
      </c>
      <c r="C1049" s="156">
        <v>55.0</v>
      </c>
      <c r="D1049" s="156">
        <v>7.08944989870656</v>
      </c>
    </row>
    <row r="1050" ht="15.75" customHeight="1">
      <c r="A1050" s="156">
        <v>2017.0</v>
      </c>
      <c r="B1050" s="156" t="s">
        <v>135</v>
      </c>
      <c r="C1050" s="156">
        <v>60.0</v>
      </c>
      <c r="D1050" s="156">
        <v>4.05111422783232</v>
      </c>
    </row>
    <row r="1051" ht="15.75" customHeight="1">
      <c r="A1051" s="156">
        <v>2017.0</v>
      </c>
      <c r="B1051" s="156" t="s">
        <v>135</v>
      </c>
      <c r="C1051" s="156">
        <v>65.0</v>
      </c>
      <c r="D1051" s="156">
        <v>2.02555711391616</v>
      </c>
    </row>
    <row r="1052" ht="15.75" customHeight="1">
      <c r="A1052" s="156">
        <v>2017.0</v>
      </c>
      <c r="B1052" s="156" t="s">
        <v>135</v>
      </c>
      <c r="C1052" s="156">
        <v>70.0</v>
      </c>
      <c r="D1052" s="156">
        <v>4.05111422783232</v>
      </c>
    </row>
    <row r="1053" ht="15.75" customHeight="1">
      <c r="A1053" s="156">
        <v>2017.0</v>
      </c>
      <c r="B1053" s="156" t="s">
        <v>135</v>
      </c>
      <c r="C1053" s="156">
        <v>75.0</v>
      </c>
      <c r="D1053" s="156">
        <v>0.0</v>
      </c>
    </row>
    <row r="1054" ht="15.75" customHeight="1">
      <c r="A1054" s="156">
        <v>2017.0</v>
      </c>
      <c r="B1054" s="156" t="s">
        <v>135</v>
      </c>
      <c r="C1054" s="156">
        <v>80.0</v>
      </c>
      <c r="D1054" s="156">
        <v>1.01277855695808</v>
      </c>
    </row>
    <row r="1055" ht="15.75" customHeight="1">
      <c r="A1055" s="156">
        <v>2017.0</v>
      </c>
      <c r="B1055" s="156" t="s">
        <v>135</v>
      </c>
      <c r="C1055" s="156">
        <v>85.0</v>
      </c>
      <c r="D1055" s="156">
        <v>0.0</v>
      </c>
    </row>
    <row r="1056" ht="15.75" customHeight="1">
      <c r="A1056" s="164">
        <v>2019.0</v>
      </c>
      <c r="B1056" s="164" t="s">
        <v>135</v>
      </c>
      <c r="C1056" s="164">
        <v>0.0</v>
      </c>
      <c r="D1056" s="164">
        <v>0.507791344303438</v>
      </c>
    </row>
    <row r="1057" ht="15.75" customHeight="1">
      <c r="A1057" s="164">
        <v>2019.0</v>
      </c>
      <c r="B1057" s="164" t="s">
        <v>135</v>
      </c>
      <c r="C1057" s="164">
        <v>1.0</v>
      </c>
      <c r="D1057" s="164">
        <v>0.507791344303438</v>
      </c>
    </row>
    <row r="1058" ht="15.75" customHeight="1">
      <c r="A1058" s="164">
        <v>2019.0</v>
      </c>
      <c r="B1058" s="164" t="s">
        <v>135</v>
      </c>
      <c r="C1058" s="164">
        <v>5.0</v>
      </c>
      <c r="D1058" s="164">
        <v>1.52337403291031</v>
      </c>
    </row>
    <row r="1059" ht="15.75" customHeight="1">
      <c r="A1059" s="164">
        <v>2019.0</v>
      </c>
      <c r="B1059" s="164" t="s">
        <v>135</v>
      </c>
      <c r="C1059" s="164">
        <v>10.0</v>
      </c>
      <c r="D1059" s="164">
        <v>2.50779134430344</v>
      </c>
    </row>
    <row r="1060" ht="15.75" customHeight="1">
      <c r="A1060" s="164">
        <v>2019.0</v>
      </c>
      <c r="B1060" s="164" t="s">
        <v>135</v>
      </c>
      <c r="C1060" s="164">
        <v>15.0</v>
      </c>
      <c r="D1060" s="164">
        <v>11.5701220987309</v>
      </c>
    </row>
    <row r="1061" ht="15.75" customHeight="1">
      <c r="A1061" s="164">
        <v>2019.0</v>
      </c>
      <c r="B1061" s="164" t="s">
        <v>135</v>
      </c>
      <c r="C1061" s="164">
        <v>20.0</v>
      </c>
      <c r="D1061" s="164">
        <v>21.1714095746756</v>
      </c>
    </row>
    <row r="1062" ht="15.75" customHeight="1">
      <c r="A1062" s="164">
        <v>2019.0</v>
      </c>
      <c r="B1062" s="164" t="s">
        <v>135</v>
      </c>
      <c r="C1062" s="164">
        <v>25.0</v>
      </c>
      <c r="D1062" s="164">
        <v>26.6714095746756</v>
      </c>
    </row>
    <row r="1063" ht="15.75" customHeight="1">
      <c r="A1063" s="164">
        <v>2019.0</v>
      </c>
      <c r="B1063" s="164" t="s">
        <v>135</v>
      </c>
      <c r="C1063" s="164">
        <v>30.0</v>
      </c>
      <c r="D1063" s="164">
        <v>20.1402441974619</v>
      </c>
    </row>
    <row r="1064" ht="15.75" customHeight="1">
      <c r="A1064" s="164">
        <v>2019.0</v>
      </c>
      <c r="B1064" s="164" t="s">
        <v>135</v>
      </c>
      <c r="C1064" s="164">
        <v>35.0</v>
      </c>
      <c r="D1064" s="164">
        <v>17.177413545102</v>
      </c>
    </row>
    <row r="1065" ht="15.75" customHeight="1">
      <c r="A1065" s="164">
        <v>2019.0</v>
      </c>
      <c r="B1065" s="164" t="s">
        <v>135</v>
      </c>
      <c r="C1065" s="164">
        <v>40.0</v>
      </c>
      <c r="D1065" s="164">
        <v>18.1012874759447</v>
      </c>
    </row>
    <row r="1066" ht="15.75" customHeight="1">
      <c r="A1066" s="164">
        <v>2019.0</v>
      </c>
      <c r="B1066" s="164" t="s">
        <v>135</v>
      </c>
      <c r="C1066" s="164">
        <v>45.0</v>
      </c>
      <c r="D1066" s="164">
        <v>8.5623307544275</v>
      </c>
    </row>
    <row r="1067" ht="15.75" customHeight="1">
      <c r="A1067" s="164">
        <v>2019.0</v>
      </c>
      <c r="B1067" s="164" t="s">
        <v>135</v>
      </c>
      <c r="C1067" s="164">
        <v>50.0</v>
      </c>
      <c r="D1067" s="164">
        <v>7.57012209873094</v>
      </c>
    </row>
    <row r="1068" ht="15.75" customHeight="1">
      <c r="A1068" s="164">
        <v>2019.0</v>
      </c>
      <c r="B1068" s="164" t="s">
        <v>135</v>
      </c>
      <c r="C1068" s="164">
        <v>55.0</v>
      </c>
      <c r="D1068" s="164">
        <v>9.07791344303438</v>
      </c>
    </row>
    <row r="1069" ht="15.75" customHeight="1">
      <c r="A1069" s="164">
        <v>2019.0</v>
      </c>
      <c r="B1069" s="164" t="s">
        <v>135</v>
      </c>
      <c r="C1069" s="164">
        <v>60.0</v>
      </c>
      <c r="D1069" s="164">
        <v>1.5</v>
      </c>
    </row>
    <row r="1070" ht="15.75" customHeight="1">
      <c r="A1070" s="164">
        <v>2019.0</v>
      </c>
      <c r="B1070" s="164" t="s">
        <v>135</v>
      </c>
      <c r="C1070" s="164">
        <v>65.0</v>
      </c>
      <c r="D1070" s="164">
        <v>5.53895672151719</v>
      </c>
    </row>
    <row r="1071" ht="15.75" customHeight="1">
      <c r="A1071" s="164">
        <v>2019.0</v>
      </c>
      <c r="B1071" s="164" t="s">
        <v>135</v>
      </c>
      <c r="C1071" s="164">
        <v>70.0</v>
      </c>
      <c r="D1071" s="164">
        <v>2.00779134430344</v>
      </c>
    </row>
    <row r="1072" ht="15.75" customHeight="1">
      <c r="A1072" s="164">
        <v>2019.0</v>
      </c>
      <c r="B1072" s="164" t="s">
        <v>135</v>
      </c>
      <c r="C1072" s="164">
        <v>75.0</v>
      </c>
      <c r="D1072" s="164">
        <v>2.52337403291031</v>
      </c>
    </row>
    <row r="1073" ht="15.75" customHeight="1">
      <c r="A1073" s="164">
        <v>2019.0</v>
      </c>
      <c r="B1073" s="164" t="s">
        <v>135</v>
      </c>
      <c r="C1073" s="164">
        <v>80.0</v>
      </c>
      <c r="D1073" s="164">
        <v>1.00779134430344</v>
      </c>
    </row>
    <row r="1074" ht="15.75" customHeight="1">
      <c r="A1074" s="164">
        <v>2019.0</v>
      </c>
      <c r="B1074" s="164" t="s">
        <v>135</v>
      </c>
      <c r="C1074" s="164">
        <v>85.0</v>
      </c>
      <c r="D1074" s="164">
        <v>0.507791344303438</v>
      </c>
    </row>
    <row r="1075" ht="15.75" customHeight="1">
      <c r="A1075" s="156">
        <v>2020.0</v>
      </c>
      <c r="B1075" s="156" t="s">
        <v>135</v>
      </c>
      <c r="C1075" s="156">
        <v>0.0</v>
      </c>
      <c r="D1075" s="156">
        <v>1.0</v>
      </c>
    </row>
    <row r="1076" ht="15.75" customHeight="1">
      <c r="A1076" s="156">
        <v>2020.0</v>
      </c>
      <c r="B1076" s="156" t="s">
        <v>135</v>
      </c>
      <c r="C1076" s="156">
        <v>1.0</v>
      </c>
      <c r="D1076" s="156">
        <v>0.0</v>
      </c>
    </row>
    <row r="1077" ht="15.75" customHeight="1">
      <c r="A1077" s="156">
        <v>2020.0</v>
      </c>
      <c r="B1077" s="156" t="s">
        <v>135</v>
      </c>
      <c r="C1077" s="156">
        <v>5.0</v>
      </c>
      <c r="D1077" s="156">
        <v>3.0</v>
      </c>
    </row>
    <row r="1078" ht="15.75" customHeight="1">
      <c r="A1078" s="156">
        <v>2020.0</v>
      </c>
      <c r="B1078" s="156" t="s">
        <v>135</v>
      </c>
      <c r="C1078" s="156">
        <v>10.0</v>
      </c>
      <c r="D1078" s="156">
        <v>2.0</v>
      </c>
    </row>
    <row r="1079" ht="15.75" customHeight="1">
      <c r="A1079" s="156">
        <v>2020.0</v>
      </c>
      <c r="B1079" s="156" t="s">
        <v>135</v>
      </c>
      <c r="C1079" s="156">
        <v>15.0</v>
      </c>
      <c r="D1079" s="156">
        <v>15.0</v>
      </c>
    </row>
    <row r="1080" ht="15.75" customHeight="1">
      <c r="A1080" s="156">
        <v>2020.0</v>
      </c>
      <c r="B1080" s="156" t="s">
        <v>135</v>
      </c>
      <c r="C1080" s="156">
        <v>20.0</v>
      </c>
      <c r="D1080" s="156">
        <v>20.0</v>
      </c>
    </row>
    <row r="1081" ht="15.75" customHeight="1">
      <c r="A1081" s="156">
        <v>2020.0</v>
      </c>
      <c r="B1081" s="156" t="s">
        <v>135</v>
      </c>
      <c r="C1081" s="156">
        <v>25.0</v>
      </c>
      <c r="D1081" s="156">
        <v>28.0</v>
      </c>
    </row>
    <row r="1082" ht="15.75" customHeight="1">
      <c r="A1082" s="156">
        <v>2020.0</v>
      </c>
      <c r="B1082" s="156" t="s">
        <v>135</v>
      </c>
      <c r="C1082" s="156">
        <v>30.0</v>
      </c>
      <c r="D1082" s="156">
        <v>13.0</v>
      </c>
    </row>
    <row r="1083" ht="15.75" customHeight="1">
      <c r="A1083" s="156">
        <v>2020.0</v>
      </c>
      <c r="B1083" s="156" t="s">
        <v>135</v>
      </c>
      <c r="C1083" s="156">
        <v>35.0</v>
      </c>
      <c r="D1083" s="156">
        <v>12.0</v>
      </c>
    </row>
    <row r="1084" ht="15.75" customHeight="1">
      <c r="A1084" s="156">
        <v>2020.0</v>
      </c>
      <c r="B1084" s="156" t="s">
        <v>135</v>
      </c>
      <c r="C1084" s="156">
        <v>40.0</v>
      </c>
      <c r="D1084" s="156">
        <v>17.0</v>
      </c>
    </row>
    <row r="1085" ht="15.75" customHeight="1">
      <c r="A1085" s="156">
        <v>2020.0</v>
      </c>
      <c r="B1085" s="156" t="s">
        <v>135</v>
      </c>
      <c r="C1085" s="156">
        <v>45.0</v>
      </c>
      <c r="D1085" s="156">
        <v>5.0</v>
      </c>
    </row>
    <row r="1086" ht="15.75" customHeight="1">
      <c r="A1086" s="156">
        <v>2020.0</v>
      </c>
      <c r="B1086" s="156" t="s">
        <v>135</v>
      </c>
      <c r="C1086" s="156">
        <v>50.0</v>
      </c>
      <c r="D1086" s="156">
        <v>5.0</v>
      </c>
    </row>
    <row r="1087" ht="15.75" customHeight="1">
      <c r="A1087" s="156">
        <v>2020.0</v>
      </c>
      <c r="B1087" s="156" t="s">
        <v>135</v>
      </c>
      <c r="C1087" s="156">
        <v>55.0</v>
      </c>
      <c r="D1087" s="156">
        <v>3.0</v>
      </c>
    </row>
    <row r="1088" ht="15.75" customHeight="1">
      <c r="A1088" s="156">
        <v>2020.0</v>
      </c>
      <c r="B1088" s="156" t="s">
        <v>135</v>
      </c>
      <c r="C1088" s="156">
        <v>60.0</v>
      </c>
      <c r="D1088" s="156">
        <v>6.0</v>
      </c>
    </row>
    <row r="1089" ht="15.75" customHeight="1">
      <c r="A1089" s="156">
        <v>2020.0</v>
      </c>
      <c r="B1089" s="156" t="s">
        <v>135</v>
      </c>
      <c r="C1089" s="156">
        <v>65.0</v>
      </c>
      <c r="D1089" s="156">
        <v>5.0</v>
      </c>
    </row>
    <row r="1090" ht="15.75" customHeight="1">
      <c r="A1090" s="156">
        <v>2020.0</v>
      </c>
      <c r="B1090" s="156" t="s">
        <v>135</v>
      </c>
      <c r="C1090" s="156">
        <v>70.0</v>
      </c>
      <c r="D1090" s="156">
        <v>4.0</v>
      </c>
    </row>
    <row r="1091" ht="15.75" customHeight="1">
      <c r="A1091" s="156">
        <v>2020.0</v>
      </c>
      <c r="B1091" s="156" t="s">
        <v>135</v>
      </c>
      <c r="C1091" s="156">
        <v>75.0</v>
      </c>
      <c r="D1091" s="156">
        <v>0.0</v>
      </c>
    </row>
    <row r="1092" ht="15.75" customHeight="1">
      <c r="A1092" s="156">
        <v>2020.0</v>
      </c>
      <c r="B1092" s="156" t="s">
        <v>135</v>
      </c>
      <c r="C1092" s="156">
        <v>80.0</v>
      </c>
      <c r="D1092" s="156">
        <v>1.0</v>
      </c>
    </row>
    <row r="1093" ht="15.75" customHeight="1">
      <c r="A1093" s="156">
        <v>2021.0</v>
      </c>
      <c r="B1093" s="156" t="s">
        <v>135</v>
      </c>
      <c r="C1093" s="156">
        <v>0.0</v>
      </c>
      <c r="D1093" s="156">
        <v>1.0</v>
      </c>
    </row>
    <row r="1094" ht="15.75" customHeight="1">
      <c r="A1094" s="156">
        <v>2021.0</v>
      </c>
      <c r="B1094" s="156" t="s">
        <v>135</v>
      </c>
      <c r="C1094" s="156">
        <v>1.0</v>
      </c>
      <c r="D1094" s="156">
        <v>0.0</v>
      </c>
    </row>
    <row r="1095" ht="15.75" customHeight="1">
      <c r="A1095" s="156">
        <v>2021.0</v>
      </c>
      <c r="B1095" s="156" t="s">
        <v>135</v>
      </c>
      <c r="C1095" s="156">
        <v>5.0</v>
      </c>
      <c r="D1095" s="156">
        <v>1.0</v>
      </c>
    </row>
    <row r="1096" ht="15.75" customHeight="1">
      <c r="A1096" s="156">
        <v>2021.0</v>
      </c>
      <c r="B1096" s="156" t="s">
        <v>135</v>
      </c>
      <c r="C1096" s="156">
        <v>10.0</v>
      </c>
      <c r="D1096" s="156">
        <v>2.0</v>
      </c>
    </row>
    <row r="1097" ht="15.75" customHeight="1">
      <c r="A1097" s="156">
        <v>2021.0</v>
      </c>
      <c r="B1097" s="156" t="s">
        <v>135</v>
      </c>
      <c r="C1097" s="156">
        <v>15.0</v>
      </c>
      <c r="D1097" s="156">
        <v>8.0</v>
      </c>
    </row>
    <row r="1098" ht="15.75" customHeight="1">
      <c r="A1098" s="156">
        <v>2021.0</v>
      </c>
      <c r="B1098" s="156" t="s">
        <v>135</v>
      </c>
      <c r="C1098" s="156">
        <v>20.0</v>
      </c>
      <c r="D1098" s="156">
        <v>13.0</v>
      </c>
    </row>
    <row r="1099" ht="15.75" customHeight="1">
      <c r="A1099" s="156">
        <v>2021.0</v>
      </c>
      <c r="B1099" s="156" t="s">
        <v>135</v>
      </c>
      <c r="C1099" s="156">
        <v>25.0</v>
      </c>
      <c r="D1099" s="156">
        <v>20.0</v>
      </c>
    </row>
    <row r="1100" ht="15.75" customHeight="1">
      <c r="A1100" s="156">
        <v>2021.0</v>
      </c>
      <c r="B1100" s="156" t="s">
        <v>135</v>
      </c>
      <c r="C1100" s="156">
        <v>30.0</v>
      </c>
      <c r="D1100" s="156">
        <v>20.0</v>
      </c>
    </row>
    <row r="1101" ht="15.75" customHeight="1">
      <c r="A1101" s="156">
        <v>2021.0</v>
      </c>
      <c r="B1101" s="156" t="s">
        <v>135</v>
      </c>
      <c r="C1101" s="156">
        <v>35.0</v>
      </c>
      <c r="D1101" s="156">
        <v>11.0</v>
      </c>
    </row>
    <row r="1102" ht="15.75" customHeight="1">
      <c r="A1102" s="156">
        <v>2021.0</v>
      </c>
      <c r="B1102" s="156" t="s">
        <v>135</v>
      </c>
      <c r="C1102" s="156">
        <v>40.0</v>
      </c>
      <c r="D1102" s="156">
        <v>3.0</v>
      </c>
    </row>
    <row r="1103" ht="15.75" customHeight="1">
      <c r="A1103" s="156">
        <v>2021.0</v>
      </c>
      <c r="B1103" s="156" t="s">
        <v>135</v>
      </c>
      <c r="C1103" s="156">
        <v>45.0</v>
      </c>
      <c r="D1103" s="156">
        <v>8.0</v>
      </c>
    </row>
    <row r="1104" ht="15.75" customHeight="1">
      <c r="A1104" s="156">
        <v>2021.0</v>
      </c>
      <c r="B1104" s="156" t="s">
        <v>135</v>
      </c>
      <c r="C1104" s="156">
        <v>50.0</v>
      </c>
      <c r="D1104" s="156">
        <v>3.0</v>
      </c>
    </row>
    <row r="1105" ht="15.75" customHeight="1">
      <c r="A1105" s="156">
        <v>2021.0</v>
      </c>
      <c r="B1105" s="156" t="s">
        <v>135</v>
      </c>
      <c r="C1105" s="156">
        <v>55.0</v>
      </c>
      <c r="D1105" s="156">
        <v>3.0</v>
      </c>
    </row>
    <row r="1106" ht="15.75" customHeight="1">
      <c r="A1106" s="156">
        <v>2021.0</v>
      </c>
      <c r="B1106" s="156" t="s">
        <v>135</v>
      </c>
      <c r="C1106" s="156">
        <v>60.0</v>
      </c>
      <c r="D1106" s="156">
        <v>4.0</v>
      </c>
    </row>
    <row r="1107" ht="15.75" customHeight="1">
      <c r="A1107" s="156">
        <v>2021.0</v>
      </c>
      <c r="B1107" s="156" t="s">
        <v>135</v>
      </c>
      <c r="C1107" s="156">
        <v>65.0</v>
      </c>
      <c r="D1107" s="156">
        <v>5.0</v>
      </c>
    </row>
    <row r="1108" ht="15.75" customHeight="1">
      <c r="A1108" s="156">
        <v>2021.0</v>
      </c>
      <c r="B1108" s="156" t="s">
        <v>135</v>
      </c>
      <c r="C1108" s="156">
        <v>70.0</v>
      </c>
      <c r="D1108" s="156">
        <v>2.0</v>
      </c>
    </row>
    <row r="1109" ht="15.75" customHeight="1">
      <c r="A1109" s="156">
        <v>2021.0</v>
      </c>
      <c r="B1109" s="156" t="s">
        <v>135</v>
      </c>
      <c r="C1109" s="156">
        <v>75.0</v>
      </c>
      <c r="D1109" s="156">
        <v>2.0</v>
      </c>
    </row>
    <row r="1110" ht="15.75" customHeight="1">
      <c r="A1110" s="156">
        <v>2021.0</v>
      </c>
      <c r="B1110" s="156" t="s">
        <v>135</v>
      </c>
      <c r="C1110" s="156">
        <v>80.0</v>
      </c>
      <c r="D1110" s="156">
        <v>2.0</v>
      </c>
    </row>
    <row r="1111" ht="15.75" customHeight="1">
      <c r="A1111" s="156">
        <v>2021.0</v>
      </c>
      <c r="B1111" s="156" t="s">
        <v>135</v>
      </c>
      <c r="C1111" s="156">
        <v>85.0</v>
      </c>
      <c r="D1111" s="156">
        <v>0.0</v>
      </c>
    </row>
    <row r="1112" ht="15.75" customHeight="1">
      <c r="A1112" s="156">
        <v>2023.0</v>
      </c>
      <c r="B1112" s="156" t="s">
        <v>135</v>
      </c>
      <c r="C1112" s="156">
        <v>1.0</v>
      </c>
      <c r="D1112" s="156" t="s">
        <v>131</v>
      </c>
    </row>
    <row r="1113" ht="15.75" customHeight="1">
      <c r="A1113" s="156">
        <v>2023.0</v>
      </c>
      <c r="B1113" s="156" t="s">
        <v>135</v>
      </c>
      <c r="C1113" s="156">
        <v>5.0</v>
      </c>
      <c r="D1113" s="156" t="s">
        <v>131</v>
      </c>
    </row>
    <row r="1114" ht="15.75" customHeight="1">
      <c r="A1114" s="156">
        <v>2023.0</v>
      </c>
      <c r="B1114" s="156" t="s">
        <v>135</v>
      </c>
      <c r="C1114" s="156">
        <v>10.0</v>
      </c>
      <c r="D1114" s="156" t="s">
        <v>131</v>
      </c>
    </row>
    <row r="1115" ht="15.75" customHeight="1">
      <c r="A1115" s="156">
        <v>2023.0</v>
      </c>
      <c r="B1115" s="156" t="s">
        <v>135</v>
      </c>
      <c r="C1115" s="156">
        <v>15.0</v>
      </c>
      <c r="D1115" s="156" t="s">
        <v>131</v>
      </c>
    </row>
    <row r="1116" ht="15.75" customHeight="1">
      <c r="A1116" s="156">
        <v>2023.0</v>
      </c>
      <c r="B1116" s="156" t="s">
        <v>135</v>
      </c>
      <c r="C1116" s="156">
        <v>20.0</v>
      </c>
      <c r="D1116" s="156" t="s">
        <v>131</v>
      </c>
    </row>
    <row r="1117" ht="15.75" customHeight="1">
      <c r="A1117" s="156">
        <v>2023.0</v>
      </c>
      <c r="B1117" s="156" t="s">
        <v>135</v>
      </c>
      <c r="C1117" s="156">
        <v>25.0</v>
      </c>
      <c r="D1117" s="156" t="s">
        <v>131</v>
      </c>
    </row>
    <row r="1118" ht="15.75" customHeight="1">
      <c r="A1118" s="156">
        <v>2023.0</v>
      </c>
      <c r="B1118" s="156" t="s">
        <v>135</v>
      </c>
      <c r="C1118" s="156">
        <v>30.0</v>
      </c>
      <c r="D1118" s="156" t="s">
        <v>131</v>
      </c>
    </row>
    <row r="1119" ht="15.75" customHeight="1">
      <c r="A1119" s="156">
        <v>2023.0</v>
      </c>
      <c r="B1119" s="156" t="s">
        <v>135</v>
      </c>
      <c r="C1119" s="156">
        <v>35.0</v>
      </c>
      <c r="D1119" s="156" t="s">
        <v>131</v>
      </c>
    </row>
    <row r="1120" ht="15.75" customHeight="1">
      <c r="A1120" s="156">
        <v>2023.0</v>
      </c>
      <c r="B1120" s="156" t="s">
        <v>135</v>
      </c>
      <c r="C1120" s="156">
        <v>40.0</v>
      </c>
      <c r="D1120" s="156" t="s">
        <v>131</v>
      </c>
    </row>
    <row r="1121" ht="15.75" customHeight="1">
      <c r="A1121" s="156">
        <v>2023.0</v>
      </c>
      <c r="B1121" s="156" t="s">
        <v>135</v>
      </c>
      <c r="C1121" s="156">
        <v>45.0</v>
      </c>
      <c r="D1121" s="156" t="s">
        <v>131</v>
      </c>
    </row>
    <row r="1122" ht="15.75" customHeight="1">
      <c r="A1122" s="156">
        <v>2023.0</v>
      </c>
      <c r="B1122" s="156" t="s">
        <v>135</v>
      </c>
      <c r="C1122" s="156">
        <v>50.0</v>
      </c>
      <c r="D1122" s="156" t="s">
        <v>131</v>
      </c>
    </row>
    <row r="1123" ht="15.75" customHeight="1">
      <c r="A1123" s="156">
        <v>2023.0</v>
      </c>
      <c r="B1123" s="156" t="s">
        <v>135</v>
      </c>
      <c r="C1123" s="156">
        <v>55.0</v>
      </c>
      <c r="D1123" s="156" t="s">
        <v>131</v>
      </c>
    </row>
    <row r="1124" ht="15.75" customHeight="1">
      <c r="A1124" s="156">
        <v>2023.0</v>
      </c>
      <c r="B1124" s="156" t="s">
        <v>135</v>
      </c>
      <c r="C1124" s="156">
        <v>60.0</v>
      </c>
      <c r="D1124" s="156" t="s">
        <v>131</v>
      </c>
    </row>
    <row r="1125" ht="15.75" customHeight="1">
      <c r="A1125" s="156">
        <v>2023.0</v>
      </c>
      <c r="B1125" s="156" t="s">
        <v>135</v>
      </c>
      <c r="C1125" s="156">
        <v>65.0</v>
      </c>
      <c r="D1125" s="156" t="s">
        <v>131</v>
      </c>
    </row>
    <row r="1126" ht="15.75" customHeight="1">
      <c r="A1126" s="156">
        <v>2023.0</v>
      </c>
      <c r="B1126" s="156" t="s">
        <v>135</v>
      </c>
      <c r="C1126" s="156">
        <v>70.0</v>
      </c>
      <c r="D1126" s="156" t="s">
        <v>131</v>
      </c>
    </row>
    <row r="1127" ht="15.75" customHeight="1">
      <c r="A1127" s="156">
        <v>2023.0</v>
      </c>
      <c r="B1127" s="156" t="s">
        <v>135</v>
      </c>
      <c r="C1127" s="156">
        <v>75.0</v>
      </c>
      <c r="D1127" s="156" t="s">
        <v>131</v>
      </c>
    </row>
    <row r="1128" ht="15.75" customHeight="1">
      <c r="A1128" s="156">
        <v>2023.0</v>
      </c>
      <c r="B1128" s="156" t="s">
        <v>135</v>
      </c>
      <c r="C1128" s="156">
        <v>80.0</v>
      </c>
      <c r="D1128" s="156" t="s">
        <v>131</v>
      </c>
    </row>
    <row r="1129" ht="15.75" customHeight="1">
      <c r="A1129" s="156">
        <v>2023.0</v>
      </c>
      <c r="B1129" s="156" t="s">
        <v>135</v>
      </c>
      <c r="C1129" s="156">
        <v>85.0</v>
      </c>
      <c r="D1129" s="156" t="s">
        <v>131</v>
      </c>
    </row>
    <row r="1130" ht="15.75" customHeight="1">
      <c r="A1130" s="156">
        <v>2024.0</v>
      </c>
      <c r="B1130" s="156" t="s">
        <v>135</v>
      </c>
      <c r="C1130" s="156">
        <v>1.0</v>
      </c>
      <c r="D1130" s="156">
        <v>1.0</v>
      </c>
    </row>
    <row r="1131" ht="15.75" customHeight="1">
      <c r="A1131" s="156">
        <v>2024.0</v>
      </c>
      <c r="B1131" s="156" t="s">
        <v>135</v>
      </c>
      <c r="C1131" s="156">
        <v>5.0</v>
      </c>
      <c r="D1131" s="156">
        <v>0.0</v>
      </c>
    </row>
    <row r="1132" ht="15.75" customHeight="1">
      <c r="A1132" s="156">
        <v>2024.0</v>
      </c>
      <c r="B1132" s="156" t="s">
        <v>135</v>
      </c>
      <c r="C1132" s="156">
        <v>10.0</v>
      </c>
      <c r="D1132" s="156">
        <v>0.0</v>
      </c>
    </row>
    <row r="1133" ht="15.75" customHeight="1">
      <c r="A1133" s="156">
        <v>2024.0</v>
      </c>
      <c r="B1133" s="156" t="s">
        <v>135</v>
      </c>
      <c r="C1133" s="156">
        <v>15.0</v>
      </c>
      <c r="D1133" s="156">
        <v>4.0</v>
      </c>
    </row>
    <row r="1134" ht="15.75" customHeight="1">
      <c r="A1134" s="156">
        <v>2024.0</v>
      </c>
      <c r="B1134" s="156" t="s">
        <v>135</v>
      </c>
      <c r="C1134" s="156">
        <v>20.0</v>
      </c>
      <c r="D1134" s="156">
        <v>13.0</v>
      </c>
    </row>
    <row r="1135" ht="15.75" customHeight="1">
      <c r="A1135" s="156">
        <v>2024.0</v>
      </c>
      <c r="B1135" s="156" t="s">
        <v>135</v>
      </c>
      <c r="C1135" s="156">
        <v>25.0</v>
      </c>
      <c r="D1135" s="156">
        <v>19.0</v>
      </c>
    </row>
    <row r="1136" ht="15.75" customHeight="1">
      <c r="A1136" s="156">
        <v>2024.0</v>
      </c>
      <c r="B1136" s="156" t="s">
        <v>135</v>
      </c>
      <c r="C1136" s="156">
        <v>30.0</v>
      </c>
      <c r="D1136" s="156">
        <v>14.0</v>
      </c>
    </row>
    <row r="1137" ht="15.75" customHeight="1">
      <c r="A1137" s="156">
        <v>2024.0</v>
      </c>
      <c r="B1137" s="156" t="s">
        <v>135</v>
      </c>
      <c r="C1137" s="156">
        <v>35.0</v>
      </c>
      <c r="D1137" s="156">
        <v>10.0</v>
      </c>
    </row>
    <row r="1138" ht="15.75" customHeight="1">
      <c r="A1138" s="156">
        <v>2024.0</v>
      </c>
      <c r="B1138" s="156" t="s">
        <v>135</v>
      </c>
      <c r="C1138" s="156">
        <v>40.0</v>
      </c>
      <c r="D1138" s="156">
        <v>10.0</v>
      </c>
    </row>
    <row r="1139" ht="15.75" customHeight="1">
      <c r="A1139" s="156">
        <v>2024.0</v>
      </c>
      <c r="B1139" s="156" t="s">
        <v>135</v>
      </c>
      <c r="C1139" s="156">
        <v>45.0</v>
      </c>
      <c r="D1139" s="156">
        <v>11.0</v>
      </c>
    </row>
    <row r="1140" ht="15.75" customHeight="1">
      <c r="A1140" s="156">
        <v>2024.0</v>
      </c>
      <c r="B1140" s="156" t="s">
        <v>135</v>
      </c>
      <c r="C1140" s="156">
        <v>50.0</v>
      </c>
      <c r="D1140" s="156">
        <v>4.0</v>
      </c>
    </row>
    <row r="1141" ht="15.75" customHeight="1">
      <c r="A1141" s="156">
        <v>2024.0</v>
      </c>
      <c r="B1141" s="156" t="s">
        <v>135</v>
      </c>
      <c r="C1141" s="156">
        <v>55.0</v>
      </c>
      <c r="D1141" s="156">
        <v>3.0</v>
      </c>
    </row>
    <row r="1142" ht="15.75" customHeight="1">
      <c r="A1142" s="156">
        <v>2024.0</v>
      </c>
      <c r="B1142" s="156" t="s">
        <v>135</v>
      </c>
      <c r="C1142" s="156">
        <v>60.0</v>
      </c>
      <c r="D1142" s="156">
        <v>2.0</v>
      </c>
    </row>
    <row r="1143" ht="15.75" customHeight="1">
      <c r="A1143" s="156">
        <v>2024.0</v>
      </c>
      <c r="B1143" s="156" t="s">
        <v>135</v>
      </c>
      <c r="C1143" s="156">
        <v>65.0</v>
      </c>
      <c r="D1143" s="156">
        <v>5.0</v>
      </c>
    </row>
    <row r="1144" ht="15.75" customHeight="1">
      <c r="A1144" s="156">
        <v>2024.0</v>
      </c>
      <c r="B1144" s="156" t="s">
        <v>135</v>
      </c>
      <c r="C1144" s="156">
        <v>70.0</v>
      </c>
      <c r="D1144" s="156">
        <v>1.0</v>
      </c>
    </row>
    <row r="1145" ht="15.75" customHeight="1">
      <c r="A1145" s="156">
        <v>2024.0</v>
      </c>
      <c r="B1145" s="156" t="s">
        <v>135</v>
      </c>
      <c r="C1145" s="156">
        <v>75.0</v>
      </c>
      <c r="D1145" s="156">
        <v>2.0</v>
      </c>
    </row>
    <row r="1146" ht="15.75" customHeight="1">
      <c r="A1146" s="156">
        <v>2024.0</v>
      </c>
      <c r="B1146" s="156" t="s">
        <v>135</v>
      </c>
      <c r="C1146" s="156">
        <v>80.0</v>
      </c>
      <c r="D1146" s="156">
        <v>1.0</v>
      </c>
    </row>
    <row r="1147" ht="15.75" customHeight="1">
      <c r="A1147" s="156">
        <v>2024.0</v>
      </c>
      <c r="B1147" s="156" t="s">
        <v>135</v>
      </c>
      <c r="C1147" s="156">
        <v>85.0</v>
      </c>
      <c r="D1147" s="156">
        <v>1.0</v>
      </c>
    </row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>
      <c r="A1218" s="170"/>
      <c r="B1218" s="170"/>
      <c r="C1218" s="170"/>
      <c r="D1218" s="170"/>
    </row>
    <row r="1219" ht="15.75" customHeight="1">
      <c r="A1219" s="170"/>
      <c r="B1219" s="170"/>
      <c r="C1219" s="170"/>
      <c r="D1219" s="170"/>
    </row>
    <row r="1220" ht="15.75" customHeight="1">
      <c r="A1220" s="170"/>
      <c r="B1220" s="170"/>
      <c r="C1220" s="170"/>
      <c r="D1220" s="170"/>
    </row>
    <row r="1221" ht="15.75" customHeight="1">
      <c r="A1221" s="170"/>
      <c r="B1221" s="170"/>
      <c r="C1221" s="170"/>
      <c r="D1221" s="170"/>
    </row>
    <row r="1222" ht="15.75" customHeight="1">
      <c r="A1222" s="170"/>
      <c r="B1222" s="170"/>
      <c r="C1222" s="170"/>
      <c r="D1222" s="170"/>
    </row>
    <row r="1223" ht="15.75" customHeight="1">
      <c r="A1223" s="170"/>
      <c r="B1223" s="170"/>
      <c r="C1223" s="170"/>
      <c r="D1223" s="170"/>
    </row>
    <row r="1224" ht="15.75" customHeight="1">
      <c r="A1224" s="170"/>
      <c r="B1224" s="170"/>
      <c r="C1224" s="170"/>
      <c r="D1224" s="170"/>
    </row>
    <row r="1225" ht="15.75" customHeight="1">
      <c r="A1225" s="170"/>
      <c r="B1225" s="170"/>
      <c r="C1225" s="170"/>
      <c r="D1225" s="170"/>
    </row>
    <row r="1226" ht="15.75" customHeight="1">
      <c r="A1226" s="170"/>
      <c r="B1226" s="170"/>
      <c r="C1226" s="170"/>
      <c r="D1226" s="170"/>
    </row>
    <row r="1227" ht="15.75" customHeight="1">
      <c r="A1227" s="170"/>
      <c r="B1227" s="170"/>
      <c r="C1227" s="170"/>
      <c r="D1227" s="170"/>
    </row>
    <row r="1228" ht="15.75" customHeight="1">
      <c r="A1228" s="170"/>
      <c r="B1228" s="170"/>
      <c r="C1228" s="170"/>
      <c r="D1228" s="170"/>
    </row>
    <row r="1229" ht="15.75" customHeight="1">
      <c r="A1229" s="170"/>
      <c r="B1229" s="170"/>
      <c r="C1229" s="170"/>
      <c r="D1229" s="170"/>
    </row>
    <row r="1230" ht="15.75" customHeight="1">
      <c r="A1230" s="170"/>
      <c r="B1230" s="170"/>
      <c r="C1230" s="170"/>
      <c r="D1230" s="170"/>
    </row>
    <row r="1231" ht="15.75" customHeight="1">
      <c r="A1231" s="170"/>
      <c r="B1231" s="170"/>
      <c r="C1231" s="170"/>
      <c r="D1231" s="170"/>
    </row>
    <row r="1232" ht="15.75" customHeight="1">
      <c r="A1232" s="170"/>
      <c r="B1232" s="170"/>
      <c r="C1232" s="170"/>
      <c r="D1232" s="170"/>
    </row>
    <row r="1233" ht="15.75" customHeight="1">
      <c r="A1233" s="170"/>
      <c r="B1233" s="170"/>
      <c r="C1233" s="170"/>
      <c r="D1233" s="170"/>
    </row>
    <row r="1234" ht="15.75" customHeight="1">
      <c r="A1234" s="170"/>
      <c r="B1234" s="170"/>
      <c r="C1234" s="170"/>
      <c r="D1234" s="170"/>
    </row>
    <row r="1235" ht="15.75" customHeight="1">
      <c r="A1235" s="170"/>
      <c r="B1235" s="170"/>
      <c r="C1235" s="170"/>
      <c r="D1235" s="170"/>
    </row>
    <row r="1236" ht="15.75" customHeight="1">
      <c r="A1236" s="170"/>
      <c r="B1236" s="170"/>
      <c r="C1236" s="170"/>
      <c r="D1236" s="170"/>
    </row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75"/>
    <col customWidth="1" min="3" max="3" width="11.5"/>
    <col customWidth="1" min="4" max="4" width="14.13"/>
    <col customWidth="1" min="5" max="6" width="10.75"/>
    <col customWidth="1" min="7" max="26" width="14.38"/>
  </cols>
  <sheetData>
    <row r="1">
      <c r="A1" s="156" t="s">
        <v>118</v>
      </c>
      <c r="B1" s="156" t="s">
        <v>119</v>
      </c>
      <c r="C1" s="156" t="s">
        <v>120</v>
      </c>
      <c r="D1" s="156" t="s">
        <v>133</v>
      </c>
    </row>
    <row r="2">
      <c r="A2" s="156">
        <v>2010.0</v>
      </c>
      <c r="B2" s="156" t="s">
        <v>134</v>
      </c>
      <c r="C2" s="156">
        <v>0.0</v>
      </c>
      <c r="D2" s="156">
        <v>1068.55110264471</v>
      </c>
    </row>
    <row r="3">
      <c r="A3" s="156">
        <v>2010.0</v>
      </c>
      <c r="B3" s="156" t="s">
        <v>134</v>
      </c>
      <c r="C3" s="156">
        <v>1.0</v>
      </c>
      <c r="D3" s="156">
        <v>210.935735513649</v>
      </c>
    </row>
    <row r="4">
      <c r="A4" s="156">
        <v>2010.0</v>
      </c>
      <c r="B4" s="156" t="s">
        <v>134</v>
      </c>
      <c r="C4" s="156">
        <v>5.0</v>
      </c>
      <c r="D4" s="156">
        <v>111.532795124064</v>
      </c>
    </row>
    <row r="5">
      <c r="A5" s="156">
        <v>2010.0</v>
      </c>
      <c r="B5" s="156" t="s">
        <v>134</v>
      </c>
      <c r="C5" s="156">
        <v>10.0</v>
      </c>
      <c r="D5" s="156">
        <v>150.171539155492</v>
      </c>
    </row>
    <row r="6">
      <c r="A6" s="156">
        <v>2010.0</v>
      </c>
      <c r="B6" s="156" t="s">
        <v>134</v>
      </c>
      <c r="C6" s="156">
        <v>15.0</v>
      </c>
      <c r="D6" s="156">
        <v>429.068667625557</v>
      </c>
    </row>
    <row r="7">
      <c r="A7" s="156">
        <v>2010.0</v>
      </c>
      <c r="B7" s="156" t="s">
        <v>134</v>
      </c>
      <c r="C7" s="156">
        <v>20.0</v>
      </c>
      <c r="D7" s="156">
        <v>585.913248395073</v>
      </c>
    </row>
    <row r="8">
      <c r="A8" s="156">
        <v>2010.0</v>
      </c>
      <c r="B8" s="156" t="s">
        <v>134</v>
      </c>
      <c r="C8" s="156">
        <v>25.0</v>
      </c>
      <c r="D8" s="156">
        <v>651.127227938396</v>
      </c>
    </row>
    <row r="9">
      <c r="A9" s="156">
        <v>2010.0</v>
      </c>
      <c r="B9" s="156" t="s">
        <v>134</v>
      </c>
      <c r="C9" s="156">
        <v>30.0</v>
      </c>
      <c r="D9" s="156">
        <v>747.836257115756</v>
      </c>
    </row>
    <row r="10">
      <c r="A10" s="156">
        <v>2010.0</v>
      </c>
      <c r="B10" s="156" t="s">
        <v>134</v>
      </c>
      <c r="C10" s="156">
        <v>35.0</v>
      </c>
      <c r="D10" s="156">
        <v>889.288260795198</v>
      </c>
    </row>
    <row r="11">
      <c r="A11" s="156">
        <v>2010.0</v>
      </c>
      <c r="B11" s="156" t="s">
        <v>134</v>
      </c>
      <c r="C11" s="156">
        <v>40.0</v>
      </c>
      <c r="D11" s="156">
        <v>1000.26533968653</v>
      </c>
    </row>
    <row r="12">
      <c r="A12" s="156">
        <v>2010.0</v>
      </c>
      <c r="B12" s="156" t="s">
        <v>134</v>
      </c>
      <c r="C12" s="156">
        <v>45.0</v>
      </c>
      <c r="D12" s="156">
        <v>1211.17978272189</v>
      </c>
    </row>
    <row r="13">
      <c r="A13" s="156">
        <v>2010.0</v>
      </c>
      <c r="B13" s="156" t="s">
        <v>134</v>
      </c>
      <c r="C13" s="156">
        <v>50.0</v>
      </c>
      <c r="D13" s="156">
        <v>1430.64511428435</v>
      </c>
    </row>
    <row r="14">
      <c r="A14" s="156">
        <v>2010.0</v>
      </c>
      <c r="B14" s="156" t="s">
        <v>134</v>
      </c>
      <c r="C14" s="156">
        <v>55.0</v>
      </c>
      <c r="D14" s="156">
        <v>1638.93517092035</v>
      </c>
    </row>
    <row r="15">
      <c r="A15" s="156">
        <v>2010.0</v>
      </c>
      <c r="B15" s="156" t="s">
        <v>134</v>
      </c>
      <c r="C15" s="156">
        <v>60.0</v>
      </c>
      <c r="D15" s="156">
        <v>1806.89196395081</v>
      </c>
    </row>
    <row r="16">
      <c r="A16" s="156">
        <v>2010.0</v>
      </c>
      <c r="B16" s="156" t="s">
        <v>134</v>
      </c>
      <c r="C16" s="156">
        <v>65.0</v>
      </c>
      <c r="D16" s="156">
        <v>2032.28142407243</v>
      </c>
    </row>
    <row r="17">
      <c r="A17" s="156">
        <v>2010.0</v>
      </c>
      <c r="B17" s="156" t="s">
        <v>134</v>
      </c>
      <c r="C17" s="156">
        <v>70.0</v>
      </c>
      <c r="D17" s="156">
        <v>2397.12561508581</v>
      </c>
    </row>
    <row r="18">
      <c r="A18" s="156">
        <v>2010.0</v>
      </c>
      <c r="B18" s="156" t="s">
        <v>134</v>
      </c>
      <c r="C18" s="156">
        <v>75.0</v>
      </c>
      <c r="D18" s="156">
        <v>2449.3209158752</v>
      </c>
    </row>
    <row r="19">
      <c r="A19" s="156">
        <v>2010.0</v>
      </c>
      <c r="B19" s="156" t="s">
        <v>134</v>
      </c>
      <c r="C19" s="156">
        <v>80.0</v>
      </c>
      <c r="D19" s="156">
        <v>2251.90736886048</v>
      </c>
    </row>
    <row r="20">
      <c r="A20" s="156">
        <v>2010.0</v>
      </c>
      <c r="B20" s="156" t="s">
        <v>134</v>
      </c>
      <c r="C20" s="156">
        <v>85.0</v>
      </c>
      <c r="D20" s="156">
        <v>3334.2351059264</v>
      </c>
    </row>
    <row r="21" ht="15.75" customHeight="1">
      <c r="A21" s="158">
        <v>2019.0</v>
      </c>
      <c r="B21" s="158" t="s">
        <v>134</v>
      </c>
      <c r="C21" s="158">
        <v>0.0</v>
      </c>
      <c r="D21" s="158">
        <v>725.880539581387</v>
      </c>
    </row>
    <row r="22" ht="15.75" customHeight="1">
      <c r="A22" s="158">
        <v>2019.0</v>
      </c>
      <c r="B22" s="158" t="s">
        <v>134</v>
      </c>
      <c r="C22" s="158">
        <v>1.0</v>
      </c>
      <c r="D22" s="158">
        <v>153.843218538733</v>
      </c>
    </row>
    <row r="23" ht="15.75" customHeight="1">
      <c r="A23" s="158">
        <v>2019.0</v>
      </c>
      <c r="B23" s="158" t="s">
        <v>134</v>
      </c>
      <c r="C23" s="158">
        <v>5.0</v>
      </c>
      <c r="D23" s="158">
        <v>83.1784841509575</v>
      </c>
    </row>
    <row r="24" ht="15.75" customHeight="1">
      <c r="A24" s="158">
        <v>2019.0</v>
      </c>
      <c r="B24" s="158" t="s">
        <v>134</v>
      </c>
      <c r="C24" s="158">
        <v>10.0</v>
      </c>
      <c r="D24" s="158">
        <v>106.230554526097</v>
      </c>
    </row>
    <row r="25" ht="15.75" customHeight="1">
      <c r="A25" s="158">
        <v>2019.0</v>
      </c>
      <c r="B25" s="158" t="s">
        <v>134</v>
      </c>
      <c r="C25" s="158">
        <v>15.0</v>
      </c>
      <c r="D25" s="158">
        <v>362.80833597376</v>
      </c>
    </row>
    <row r="26" ht="15.75" customHeight="1">
      <c r="A26" s="158">
        <v>2019.0</v>
      </c>
      <c r="B26" s="158" t="s">
        <v>134</v>
      </c>
      <c r="C26" s="158">
        <v>20.0</v>
      </c>
      <c r="D26" s="158">
        <v>614.857811451717</v>
      </c>
    </row>
    <row r="27" ht="15.75" customHeight="1">
      <c r="A27" s="158">
        <v>2019.0</v>
      </c>
      <c r="B27" s="158" t="s">
        <v>134</v>
      </c>
      <c r="C27" s="158">
        <v>25.0</v>
      </c>
      <c r="D27" s="158">
        <v>781.209854624893</v>
      </c>
    </row>
    <row r="28" ht="15.75" customHeight="1">
      <c r="A28" s="158">
        <v>2019.0</v>
      </c>
      <c r="B28" s="158" t="s">
        <v>134</v>
      </c>
      <c r="C28" s="158">
        <v>30.0</v>
      </c>
      <c r="D28" s="158">
        <v>794.232647489496</v>
      </c>
    </row>
    <row r="29" ht="15.75" customHeight="1">
      <c r="A29" s="158">
        <v>2019.0</v>
      </c>
      <c r="B29" s="158" t="s">
        <v>134</v>
      </c>
      <c r="C29" s="158">
        <v>35.0</v>
      </c>
      <c r="D29" s="158">
        <v>901.836747174737</v>
      </c>
    </row>
    <row r="30" ht="15.75" customHeight="1">
      <c r="A30" s="158">
        <v>2019.0</v>
      </c>
      <c r="B30" s="158" t="s">
        <v>134</v>
      </c>
      <c r="C30" s="158">
        <v>40.0</v>
      </c>
      <c r="D30" s="158">
        <v>1058.82542350307</v>
      </c>
    </row>
    <row r="31" ht="15.75" customHeight="1">
      <c r="A31" s="158">
        <v>2019.0</v>
      </c>
      <c r="B31" s="158" t="s">
        <v>134</v>
      </c>
      <c r="C31" s="158">
        <v>45.0</v>
      </c>
      <c r="D31" s="158">
        <v>1346.44236082894</v>
      </c>
    </row>
    <row r="32" ht="15.75" customHeight="1">
      <c r="A32" s="158">
        <v>2019.0</v>
      </c>
      <c r="B32" s="158" t="s">
        <v>134</v>
      </c>
      <c r="C32" s="158">
        <v>50.0</v>
      </c>
      <c r="D32" s="158">
        <v>1748.34315380368</v>
      </c>
    </row>
    <row r="33" ht="15.75" customHeight="1">
      <c r="A33" s="158">
        <v>2019.0</v>
      </c>
      <c r="B33" s="158" t="s">
        <v>134</v>
      </c>
      <c r="C33" s="158">
        <v>55.0</v>
      </c>
      <c r="D33" s="158">
        <v>2144.20930649246</v>
      </c>
    </row>
    <row r="34" ht="15.75" customHeight="1">
      <c r="A34" s="158">
        <v>2019.0</v>
      </c>
      <c r="B34" s="158" t="s">
        <v>134</v>
      </c>
      <c r="C34" s="158">
        <v>60.0</v>
      </c>
      <c r="D34" s="158">
        <v>2553.09551586323</v>
      </c>
    </row>
    <row r="35" ht="15.75" customHeight="1">
      <c r="A35" s="158">
        <v>2019.0</v>
      </c>
      <c r="B35" s="158" t="s">
        <v>134</v>
      </c>
      <c r="C35" s="158">
        <v>65.0</v>
      </c>
      <c r="D35" s="158">
        <v>2678.38623972251</v>
      </c>
    </row>
    <row r="36" ht="15.75" customHeight="1">
      <c r="A36" s="158">
        <v>2019.0</v>
      </c>
      <c r="B36" s="158" t="s">
        <v>134</v>
      </c>
      <c r="C36" s="158">
        <v>70.0</v>
      </c>
      <c r="D36" s="158">
        <v>2880.28494975558</v>
      </c>
    </row>
    <row r="37" ht="15.75" customHeight="1">
      <c r="A37" s="158">
        <v>2019.0</v>
      </c>
      <c r="B37" s="158" t="s">
        <v>134</v>
      </c>
      <c r="C37" s="158">
        <v>75.0</v>
      </c>
      <c r="D37" s="158">
        <v>3149.88990196005</v>
      </c>
    </row>
    <row r="38" ht="15.75" customHeight="1">
      <c r="A38" s="158">
        <v>2019.0</v>
      </c>
      <c r="B38" s="158" t="s">
        <v>134</v>
      </c>
      <c r="C38" s="158">
        <v>80.0</v>
      </c>
      <c r="D38" s="158">
        <v>3125.34080028962</v>
      </c>
    </row>
    <row r="39" ht="15.75" customHeight="1">
      <c r="A39" s="158">
        <v>2019.0</v>
      </c>
      <c r="B39" s="158" t="s">
        <v>134</v>
      </c>
      <c r="C39" s="158">
        <v>85.0</v>
      </c>
      <c r="D39" s="158">
        <v>4561.69825749166</v>
      </c>
    </row>
    <row r="40" ht="15.75" customHeight="1">
      <c r="A40" s="156">
        <v>2021.0</v>
      </c>
      <c r="B40" s="156" t="s">
        <v>134</v>
      </c>
      <c r="C40" s="156">
        <v>0.0</v>
      </c>
      <c r="D40" s="156">
        <v>605.449853753705</v>
      </c>
    </row>
    <row r="41" ht="15.75" customHeight="1">
      <c r="A41" s="156">
        <v>2021.0</v>
      </c>
      <c r="B41" s="156" t="s">
        <v>134</v>
      </c>
      <c r="C41" s="156">
        <v>1.0</v>
      </c>
      <c r="D41" s="156">
        <v>116.072646170024</v>
      </c>
    </row>
    <row r="42" ht="15.75" customHeight="1">
      <c r="A42" s="156">
        <v>2021.0</v>
      </c>
      <c r="B42" s="156" t="s">
        <v>134</v>
      </c>
      <c r="C42" s="156">
        <v>5.0</v>
      </c>
      <c r="D42" s="156">
        <v>61.0382018652712</v>
      </c>
    </row>
    <row r="43" ht="15.75" customHeight="1">
      <c r="A43" s="156">
        <v>2021.0</v>
      </c>
      <c r="B43" s="156" t="s">
        <v>134</v>
      </c>
      <c r="C43" s="156">
        <v>10.0</v>
      </c>
      <c r="D43" s="156">
        <v>113.070767389765</v>
      </c>
    </row>
    <row r="44" ht="15.75" customHeight="1">
      <c r="A44" s="156">
        <v>2021.0</v>
      </c>
      <c r="B44" s="156" t="s">
        <v>134</v>
      </c>
      <c r="C44" s="156">
        <v>15.0</v>
      </c>
      <c r="D44" s="156">
        <v>329.20603956843</v>
      </c>
    </row>
    <row r="45" ht="15.75" customHeight="1">
      <c r="A45" s="156">
        <v>2021.0</v>
      </c>
      <c r="B45" s="156" t="s">
        <v>134</v>
      </c>
      <c r="C45" s="156">
        <v>20.0</v>
      </c>
      <c r="D45" s="156">
        <v>567.355089468996</v>
      </c>
    </row>
    <row r="46" ht="15.75" customHeight="1">
      <c r="A46" s="156">
        <v>2021.0</v>
      </c>
      <c r="B46" s="156" t="s">
        <v>134</v>
      </c>
      <c r="C46" s="156">
        <v>25.0</v>
      </c>
      <c r="D46" s="156">
        <v>825.516664571291</v>
      </c>
    </row>
    <row r="47" ht="15.75" customHeight="1">
      <c r="A47" s="156">
        <v>2021.0</v>
      </c>
      <c r="B47" s="156" t="s">
        <v>134</v>
      </c>
      <c r="C47" s="156">
        <v>30.0</v>
      </c>
      <c r="D47" s="156">
        <v>961.601835943043</v>
      </c>
    </row>
    <row r="48" ht="15.75" customHeight="1">
      <c r="A48" s="156">
        <v>2021.0</v>
      </c>
      <c r="B48" s="156" t="s">
        <v>134</v>
      </c>
      <c r="C48" s="156">
        <v>35.0</v>
      </c>
      <c r="D48" s="156">
        <v>1163.7283404805</v>
      </c>
    </row>
    <row r="49" ht="15.75" customHeight="1">
      <c r="A49" s="156">
        <v>2021.0</v>
      </c>
      <c r="B49" s="156" t="s">
        <v>134</v>
      </c>
      <c r="C49" s="156">
        <v>40.0</v>
      </c>
      <c r="D49" s="156">
        <v>1502.94064264979</v>
      </c>
    </row>
    <row r="50" ht="15.75" customHeight="1">
      <c r="A50" s="156">
        <v>2021.0</v>
      </c>
      <c r="B50" s="156" t="s">
        <v>134</v>
      </c>
      <c r="C50" s="156">
        <v>45.0</v>
      </c>
      <c r="D50" s="156">
        <v>2106.3182774819</v>
      </c>
    </row>
    <row r="51" ht="15.75" customHeight="1">
      <c r="A51" s="156">
        <v>2021.0</v>
      </c>
      <c r="B51" s="156" t="s">
        <v>134</v>
      </c>
      <c r="C51" s="156">
        <v>50.0</v>
      </c>
      <c r="D51" s="156">
        <v>2762.72910409859</v>
      </c>
    </row>
    <row r="52" ht="15.75" customHeight="1">
      <c r="A52" s="156">
        <v>2021.0</v>
      </c>
      <c r="B52" s="156" t="s">
        <v>134</v>
      </c>
      <c r="C52" s="156">
        <v>55.0</v>
      </c>
      <c r="D52" s="156">
        <v>3539.21508192564</v>
      </c>
    </row>
    <row r="53" ht="15.75" customHeight="1">
      <c r="A53" s="156">
        <v>2021.0</v>
      </c>
      <c r="B53" s="156" t="s">
        <v>134</v>
      </c>
      <c r="C53" s="156">
        <v>60.0</v>
      </c>
      <c r="D53" s="156">
        <v>3968.48374750272</v>
      </c>
    </row>
    <row r="54" ht="15.75" customHeight="1">
      <c r="A54" s="156">
        <v>2021.0</v>
      </c>
      <c r="B54" s="156" t="s">
        <v>134</v>
      </c>
      <c r="C54" s="156">
        <v>65.0</v>
      </c>
      <c r="D54" s="156">
        <v>4502.81817038886</v>
      </c>
    </row>
    <row r="55" ht="15.75" customHeight="1">
      <c r="A55" s="156">
        <v>2021.0</v>
      </c>
      <c r="B55" s="156" t="s">
        <v>134</v>
      </c>
      <c r="C55" s="156">
        <v>70.0</v>
      </c>
      <c r="D55" s="156">
        <v>4557.39693605233</v>
      </c>
    </row>
    <row r="56" ht="15.75" customHeight="1">
      <c r="A56" s="156">
        <v>2021.0</v>
      </c>
      <c r="B56" s="156" t="s">
        <v>134</v>
      </c>
      <c r="C56" s="156">
        <v>75.0</v>
      </c>
      <c r="D56" s="156">
        <v>4626.89582663958</v>
      </c>
    </row>
    <row r="57" ht="15.75" customHeight="1">
      <c r="A57" s="156">
        <v>2021.0</v>
      </c>
      <c r="B57" s="156" t="s">
        <v>134</v>
      </c>
      <c r="C57" s="156">
        <v>80.0</v>
      </c>
      <c r="D57" s="156">
        <v>4428.77182714247</v>
      </c>
    </row>
    <row r="58" ht="15.75" customHeight="1">
      <c r="A58" s="156">
        <v>2021.0</v>
      </c>
      <c r="B58" s="156" t="s">
        <v>134</v>
      </c>
      <c r="C58" s="156">
        <v>85.0</v>
      </c>
      <c r="D58" s="156">
        <v>6401.46902063799</v>
      </c>
    </row>
    <row r="59" ht="15.75" customHeight="1">
      <c r="A59" s="156">
        <v>2010.0</v>
      </c>
      <c r="B59" s="156" t="s">
        <v>135</v>
      </c>
      <c r="C59" s="156">
        <v>0.0</v>
      </c>
      <c r="D59" s="156">
        <v>852.512803529427</v>
      </c>
    </row>
    <row r="60" ht="15.75" customHeight="1">
      <c r="A60" s="156">
        <v>2010.0</v>
      </c>
      <c r="B60" s="156" t="s">
        <v>135</v>
      </c>
      <c r="C60" s="156">
        <v>1.0</v>
      </c>
      <c r="D60" s="156">
        <v>167.77275498341</v>
      </c>
    </row>
    <row r="61" ht="15.75" customHeight="1">
      <c r="A61" s="156">
        <v>2010.0</v>
      </c>
      <c r="B61" s="156" t="s">
        <v>135</v>
      </c>
      <c r="C61" s="156">
        <v>5.0</v>
      </c>
      <c r="D61" s="156">
        <v>92.2465347196208</v>
      </c>
    </row>
    <row r="62" ht="15.75" customHeight="1">
      <c r="A62" s="156">
        <v>2010.0</v>
      </c>
      <c r="B62" s="156" t="s">
        <v>135</v>
      </c>
      <c r="C62" s="156">
        <v>10.0</v>
      </c>
      <c r="D62" s="156">
        <v>112.303567240281</v>
      </c>
    </row>
    <row r="63" ht="15.75" customHeight="1">
      <c r="A63" s="156">
        <v>2010.0</v>
      </c>
      <c r="B63" s="156" t="s">
        <v>135</v>
      </c>
      <c r="C63" s="156">
        <v>15.0</v>
      </c>
      <c r="D63" s="156">
        <v>194.235232363849</v>
      </c>
    </row>
    <row r="64" ht="15.75" customHeight="1">
      <c r="A64" s="156">
        <v>2010.0</v>
      </c>
      <c r="B64" s="156" t="s">
        <v>135</v>
      </c>
      <c r="C64" s="156">
        <v>20.0</v>
      </c>
      <c r="D64" s="156">
        <v>222.720744084685</v>
      </c>
    </row>
    <row r="65" ht="15.75" customHeight="1">
      <c r="A65" s="156">
        <v>2010.0</v>
      </c>
      <c r="B65" s="156" t="s">
        <v>135</v>
      </c>
      <c r="C65" s="156">
        <v>25.0</v>
      </c>
      <c r="D65" s="156">
        <v>236.977464572767</v>
      </c>
    </row>
    <row r="66" ht="15.75" customHeight="1">
      <c r="A66" s="156">
        <v>2010.0</v>
      </c>
      <c r="B66" s="156" t="s">
        <v>135</v>
      </c>
      <c r="C66" s="156">
        <v>30.0</v>
      </c>
      <c r="D66" s="156">
        <v>283.115044199268</v>
      </c>
    </row>
    <row r="67" ht="15.75" customHeight="1">
      <c r="A67" s="156">
        <v>2010.0</v>
      </c>
      <c r="B67" s="156" t="s">
        <v>135</v>
      </c>
      <c r="C67" s="156">
        <v>35.0</v>
      </c>
      <c r="D67" s="156">
        <v>370.310042071319</v>
      </c>
    </row>
    <row r="68" ht="15.75" customHeight="1">
      <c r="A68" s="156">
        <v>2010.0</v>
      </c>
      <c r="B68" s="156" t="s">
        <v>135</v>
      </c>
      <c r="C68" s="156">
        <v>40.0</v>
      </c>
      <c r="D68" s="156">
        <v>467.73336417745</v>
      </c>
    </row>
    <row r="69" ht="15.75" customHeight="1">
      <c r="A69" s="156">
        <v>2010.0</v>
      </c>
      <c r="B69" s="156" t="s">
        <v>135</v>
      </c>
      <c r="C69" s="156">
        <v>45.0</v>
      </c>
      <c r="D69" s="156">
        <v>668.552940623788</v>
      </c>
    </row>
    <row r="70" ht="15.75" customHeight="1">
      <c r="A70" s="156">
        <v>2010.0</v>
      </c>
      <c r="B70" s="156" t="s">
        <v>135</v>
      </c>
      <c r="C70" s="156">
        <v>50.0</v>
      </c>
      <c r="D70" s="156">
        <v>872.583593565678</v>
      </c>
    </row>
    <row r="71" ht="15.75" customHeight="1">
      <c r="A71" s="156">
        <v>2010.0</v>
      </c>
      <c r="B71" s="156" t="s">
        <v>135</v>
      </c>
      <c r="C71" s="156">
        <v>55.0</v>
      </c>
      <c r="D71" s="156">
        <v>1145.39226894798</v>
      </c>
    </row>
    <row r="72" ht="15.75" customHeight="1">
      <c r="A72" s="156">
        <v>2010.0</v>
      </c>
      <c r="B72" s="156" t="s">
        <v>135</v>
      </c>
      <c r="C72" s="156">
        <v>60.0</v>
      </c>
      <c r="D72" s="156">
        <v>1380.87317581919</v>
      </c>
    </row>
    <row r="73" ht="15.75" customHeight="1">
      <c r="A73" s="156">
        <v>2010.0</v>
      </c>
      <c r="B73" s="156" t="s">
        <v>135</v>
      </c>
      <c r="C73" s="156">
        <v>65.0</v>
      </c>
      <c r="D73" s="156">
        <v>1721.62890279222</v>
      </c>
    </row>
    <row r="74" ht="15.75" customHeight="1">
      <c r="A74" s="156">
        <v>2010.0</v>
      </c>
      <c r="B74" s="156" t="s">
        <v>135</v>
      </c>
      <c r="C74" s="156">
        <v>70.0</v>
      </c>
      <c r="D74" s="156">
        <v>2055.06832050612</v>
      </c>
    </row>
    <row r="75" ht="15.75" customHeight="1">
      <c r="A75" s="156">
        <v>2010.0</v>
      </c>
      <c r="B75" s="156" t="s">
        <v>135</v>
      </c>
      <c r="C75" s="156">
        <v>75.0</v>
      </c>
      <c r="D75" s="156">
        <v>2344.38001840985</v>
      </c>
    </row>
    <row r="76" ht="15.75" customHeight="1">
      <c r="A76" s="156">
        <v>2010.0</v>
      </c>
      <c r="B76" s="156" t="s">
        <v>135</v>
      </c>
      <c r="C76" s="156">
        <v>80.0</v>
      </c>
      <c r="D76" s="156">
        <v>2351.98677805992</v>
      </c>
    </row>
    <row r="77" ht="15.75" customHeight="1">
      <c r="A77" s="156">
        <v>2010.0</v>
      </c>
      <c r="B77" s="156" t="s">
        <v>135</v>
      </c>
      <c r="C77" s="156">
        <v>85.0</v>
      </c>
      <c r="D77" s="156">
        <v>4079.72714697437</v>
      </c>
    </row>
    <row r="78" ht="15.75" customHeight="1">
      <c r="A78" s="164">
        <v>2019.0</v>
      </c>
      <c r="B78" s="164" t="s">
        <v>135</v>
      </c>
      <c r="C78" s="164">
        <v>0.0</v>
      </c>
      <c r="D78" s="164">
        <v>611.388915919865</v>
      </c>
    </row>
    <row r="79" ht="15.75" customHeight="1">
      <c r="A79" s="164">
        <v>2019.0</v>
      </c>
      <c r="B79" s="164" t="s">
        <v>135</v>
      </c>
      <c r="C79" s="164">
        <v>1.0</v>
      </c>
      <c r="D79" s="164">
        <v>121.530641476398</v>
      </c>
    </row>
    <row r="80" ht="15.75" customHeight="1">
      <c r="A80" s="164">
        <v>2019.0</v>
      </c>
      <c r="B80" s="164" t="s">
        <v>135</v>
      </c>
      <c r="C80" s="164">
        <v>5.0</v>
      </c>
      <c r="D80" s="164">
        <v>78.5197802881176</v>
      </c>
    </row>
    <row r="81" ht="15.75" customHeight="1">
      <c r="A81" s="164">
        <v>2019.0</v>
      </c>
      <c r="B81" s="164" t="s">
        <v>135</v>
      </c>
      <c r="C81" s="164">
        <v>10.0</v>
      </c>
      <c r="D81" s="164">
        <v>80.0203384347099</v>
      </c>
    </row>
    <row r="82" ht="15.75" customHeight="1">
      <c r="A82" s="164">
        <v>2019.0</v>
      </c>
      <c r="B82" s="164" t="s">
        <v>135</v>
      </c>
      <c r="C82" s="164">
        <v>15.0</v>
      </c>
      <c r="D82" s="164">
        <v>137.034617408311</v>
      </c>
    </row>
    <row r="83" ht="15.75" customHeight="1">
      <c r="A83" s="164">
        <v>2019.0</v>
      </c>
      <c r="B83" s="164" t="s">
        <v>135</v>
      </c>
      <c r="C83" s="164">
        <v>20.0</v>
      </c>
      <c r="D83" s="164">
        <v>178.045535898736</v>
      </c>
    </row>
    <row r="84" ht="15.75" customHeight="1">
      <c r="A84" s="164">
        <v>2019.0</v>
      </c>
      <c r="B84" s="164" t="s">
        <v>135</v>
      </c>
      <c r="C84" s="164">
        <v>25.0</v>
      </c>
      <c r="D84" s="164">
        <v>225.556444958131</v>
      </c>
    </row>
    <row r="85" ht="15.75" customHeight="1">
      <c r="A85" s="164">
        <v>2019.0</v>
      </c>
      <c r="B85" s="164" t="s">
        <v>135</v>
      </c>
      <c r="C85" s="164">
        <v>30.0</v>
      </c>
      <c r="D85" s="164">
        <v>299.576177375133</v>
      </c>
    </row>
    <row r="86" ht="15.75" customHeight="1">
      <c r="A86" s="164">
        <v>2019.0</v>
      </c>
      <c r="B86" s="164" t="s">
        <v>135</v>
      </c>
      <c r="C86" s="164">
        <v>35.0</v>
      </c>
      <c r="D86" s="164">
        <v>383.750692511048</v>
      </c>
    </row>
    <row r="87" ht="15.75" customHeight="1">
      <c r="A87" s="164">
        <v>2019.0</v>
      </c>
      <c r="B87" s="164" t="s">
        <v>135</v>
      </c>
      <c r="C87" s="164">
        <v>40.0</v>
      </c>
      <c r="D87" s="164">
        <v>545.138979908721</v>
      </c>
    </row>
    <row r="88" ht="15.75" customHeight="1">
      <c r="A88" s="164">
        <v>2019.0</v>
      </c>
      <c r="B88" s="164" t="s">
        <v>135</v>
      </c>
      <c r="C88" s="164">
        <v>45.0</v>
      </c>
      <c r="D88" s="164">
        <v>822.707018280752</v>
      </c>
    </row>
    <row r="89" ht="15.75" customHeight="1">
      <c r="A89" s="164">
        <v>2019.0</v>
      </c>
      <c r="B89" s="164" t="s">
        <v>135</v>
      </c>
      <c r="C89" s="164">
        <v>50.0</v>
      </c>
      <c r="D89" s="164">
        <v>1087.27557055748</v>
      </c>
    </row>
    <row r="90" ht="15.75" customHeight="1">
      <c r="A90" s="164">
        <v>2019.0</v>
      </c>
      <c r="B90" s="164" t="s">
        <v>135</v>
      </c>
      <c r="C90" s="164">
        <v>55.0</v>
      </c>
      <c r="D90" s="164">
        <v>1517.88342555078</v>
      </c>
    </row>
    <row r="91" ht="15.75" customHeight="1">
      <c r="A91" s="164">
        <v>2019.0</v>
      </c>
      <c r="B91" s="164" t="s">
        <v>135</v>
      </c>
      <c r="C91" s="164">
        <v>60.0</v>
      </c>
      <c r="D91" s="164">
        <v>1931.98492877045</v>
      </c>
    </row>
    <row r="92" ht="15.75" customHeight="1">
      <c r="A92" s="164">
        <v>2019.0</v>
      </c>
      <c r="B92" s="164" t="s">
        <v>135</v>
      </c>
      <c r="C92" s="164">
        <v>65.0</v>
      </c>
      <c r="D92" s="164">
        <v>2251.06659404187</v>
      </c>
    </row>
    <row r="93" ht="15.75" customHeight="1">
      <c r="A93" s="164">
        <v>2019.0</v>
      </c>
      <c r="B93" s="164" t="s">
        <v>135</v>
      </c>
      <c r="C93" s="164">
        <v>70.0</v>
      </c>
      <c r="D93" s="164">
        <v>2540.1417639263</v>
      </c>
    </row>
    <row r="94" ht="15.75" customHeight="1">
      <c r="A94" s="164">
        <v>2019.0</v>
      </c>
      <c r="B94" s="164" t="s">
        <v>135</v>
      </c>
      <c r="C94" s="164">
        <v>75.0</v>
      </c>
      <c r="D94" s="164">
        <v>2842.21825863582</v>
      </c>
    </row>
    <row r="95" ht="15.75" customHeight="1">
      <c r="A95" s="164">
        <v>2019.0</v>
      </c>
      <c r="B95" s="164" t="s">
        <v>135</v>
      </c>
      <c r="C95" s="164">
        <v>80.0</v>
      </c>
      <c r="D95" s="164">
        <v>3147.79044520418</v>
      </c>
    </row>
    <row r="96" ht="15.75" customHeight="1">
      <c r="A96" s="164">
        <v>2019.0</v>
      </c>
      <c r="B96" s="164" t="s">
        <v>135</v>
      </c>
      <c r="C96" s="164">
        <v>85.0</v>
      </c>
      <c r="D96" s="164">
        <v>5933.2757676306</v>
      </c>
    </row>
    <row r="97" ht="15.75" customHeight="1">
      <c r="A97" s="156">
        <v>2021.0</v>
      </c>
      <c r="B97" s="156" t="s">
        <v>135</v>
      </c>
      <c r="C97" s="156">
        <v>0.0</v>
      </c>
      <c r="D97" s="156">
        <v>524.929078014184</v>
      </c>
    </row>
    <row r="98" ht="15.75" customHeight="1">
      <c r="A98" s="156">
        <v>2021.0</v>
      </c>
      <c r="B98" s="156" t="s">
        <v>135</v>
      </c>
      <c r="C98" s="156">
        <v>1.0</v>
      </c>
      <c r="D98" s="156">
        <v>101.0</v>
      </c>
    </row>
    <row r="99" ht="15.75" customHeight="1">
      <c r="A99" s="156">
        <v>2021.0</v>
      </c>
      <c r="B99" s="156" t="s">
        <v>135</v>
      </c>
      <c r="C99" s="156">
        <v>5.0</v>
      </c>
      <c r="D99" s="156">
        <v>57.0</v>
      </c>
    </row>
    <row r="100" ht="15.75" customHeight="1">
      <c r="A100" s="156">
        <v>2021.0</v>
      </c>
      <c r="B100" s="156" t="s">
        <v>135</v>
      </c>
      <c r="C100" s="156">
        <v>10.0</v>
      </c>
      <c r="D100" s="156">
        <v>86.0</v>
      </c>
    </row>
    <row r="101" ht="15.75" customHeight="1">
      <c r="A101" s="156">
        <v>2021.0</v>
      </c>
      <c r="B101" s="156" t="s">
        <v>135</v>
      </c>
      <c r="C101" s="156">
        <v>15.0</v>
      </c>
      <c r="D101" s="156">
        <v>142.0</v>
      </c>
    </row>
    <row r="102" ht="15.75" customHeight="1">
      <c r="A102" s="156">
        <v>2021.0</v>
      </c>
      <c r="B102" s="156" t="s">
        <v>135</v>
      </c>
      <c r="C102" s="156">
        <v>20.0</v>
      </c>
      <c r="D102" s="156">
        <v>190.0</v>
      </c>
    </row>
    <row r="103" ht="15.75" customHeight="1">
      <c r="A103" s="156">
        <v>2021.0</v>
      </c>
      <c r="B103" s="156" t="s">
        <v>135</v>
      </c>
      <c r="C103" s="156">
        <v>25.0</v>
      </c>
      <c r="D103" s="156">
        <v>312.0</v>
      </c>
    </row>
    <row r="104" ht="15.75" customHeight="1">
      <c r="A104" s="156">
        <v>2021.0</v>
      </c>
      <c r="B104" s="156" t="s">
        <v>135</v>
      </c>
      <c r="C104" s="156">
        <v>30.0</v>
      </c>
      <c r="D104" s="156">
        <v>411.0</v>
      </c>
    </row>
    <row r="105" ht="15.75" customHeight="1">
      <c r="A105" s="156">
        <v>2021.0</v>
      </c>
      <c r="B105" s="156" t="s">
        <v>135</v>
      </c>
      <c r="C105" s="156">
        <v>35.0</v>
      </c>
      <c r="D105" s="156">
        <v>631.0</v>
      </c>
    </row>
    <row r="106" ht="15.75" customHeight="1">
      <c r="A106" s="156">
        <v>2021.0</v>
      </c>
      <c r="B106" s="156" t="s">
        <v>135</v>
      </c>
      <c r="C106" s="156">
        <v>40.0</v>
      </c>
      <c r="D106" s="156">
        <v>845.0</v>
      </c>
    </row>
    <row r="107" ht="15.75" customHeight="1">
      <c r="A107" s="156">
        <v>2021.0</v>
      </c>
      <c r="B107" s="156" t="s">
        <v>135</v>
      </c>
      <c r="C107" s="156">
        <v>45.0</v>
      </c>
      <c r="D107" s="156">
        <v>1323.0</v>
      </c>
    </row>
    <row r="108" ht="15.75" customHeight="1">
      <c r="A108" s="156">
        <v>2021.0</v>
      </c>
      <c r="B108" s="156" t="s">
        <v>135</v>
      </c>
      <c r="C108" s="156">
        <v>50.0</v>
      </c>
      <c r="D108" s="156">
        <v>1689.0</v>
      </c>
    </row>
    <row r="109" ht="15.75" customHeight="1">
      <c r="A109" s="156">
        <v>2021.0</v>
      </c>
      <c r="B109" s="156" t="s">
        <v>135</v>
      </c>
      <c r="C109" s="156">
        <v>55.0</v>
      </c>
      <c r="D109" s="156">
        <v>2594.0</v>
      </c>
    </row>
    <row r="110" ht="15.75" customHeight="1">
      <c r="A110" s="156">
        <v>2021.0</v>
      </c>
      <c r="B110" s="156" t="s">
        <v>135</v>
      </c>
      <c r="C110" s="156">
        <v>60.0</v>
      </c>
      <c r="D110" s="156">
        <v>3109.0</v>
      </c>
    </row>
    <row r="111" ht="15.75" customHeight="1">
      <c r="A111" s="156">
        <v>2021.0</v>
      </c>
      <c r="B111" s="156" t="s">
        <v>135</v>
      </c>
      <c r="C111" s="156">
        <v>65.0</v>
      </c>
      <c r="D111" s="156">
        <v>3613.0</v>
      </c>
    </row>
    <row r="112" ht="15.75" customHeight="1">
      <c r="A112" s="156">
        <v>2021.0</v>
      </c>
      <c r="B112" s="156" t="s">
        <v>135</v>
      </c>
      <c r="C112" s="156">
        <v>70.0</v>
      </c>
      <c r="D112" s="156">
        <v>3808.45539344654</v>
      </c>
    </row>
    <row r="113" ht="15.75" customHeight="1">
      <c r="A113" s="156">
        <v>2021.0</v>
      </c>
      <c r="B113" s="156" t="s">
        <v>135</v>
      </c>
      <c r="C113" s="156">
        <v>75.0</v>
      </c>
      <c r="D113" s="156">
        <v>3878.0</v>
      </c>
    </row>
    <row r="114" ht="15.75" customHeight="1">
      <c r="A114" s="156">
        <v>2021.0</v>
      </c>
      <c r="B114" s="156" t="s">
        <v>135</v>
      </c>
      <c r="C114" s="156">
        <v>80.0</v>
      </c>
      <c r="D114" s="156">
        <v>4224.0</v>
      </c>
    </row>
    <row r="115" ht="15.75" customHeight="1">
      <c r="A115" s="156">
        <v>2021.0</v>
      </c>
      <c r="B115" s="156" t="s">
        <v>135</v>
      </c>
      <c r="C115" s="156">
        <v>85.0</v>
      </c>
      <c r="D115" s="156">
        <v>7433.53745480839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2012-05-08T12:24:09Z</dcterms:created>
  <dc:creator>01404747</dc:creator>
</cp:coreProperties>
</file>